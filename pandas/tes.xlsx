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bookViews>
    <workbookView xWindow="0" yWindow="0" windowWidth="20490" windowHeight="7650" tabRatio="737" activeTab="2"/>
  </bookViews>
  <sheets>
    <sheet name="Grades" sheetId="2" r:id="rId1"/>
    <sheet name="Ms Rizwana" sheetId="5" r:id="rId2"/>
    <sheet name="Sheet1" sheetId="7" r:id="rId3"/>
    <sheet name="D - 3 - SAR SVI-SVIII" sheetId="6" r:id="rId4"/>
  </sheets>
  <definedNames>
    <definedName name="_xlnm.Print_Area" localSheetId="0">Grades!$B$1:$F$11</definedName>
    <definedName name="_xlnm.Print_Area" localSheetId="1">'Ms Rizwana'!$B$1:$H$76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4" i="7" l="1"/>
  <c r="G34" i="7"/>
  <c r="F36" i="7" s="1"/>
  <c r="H30" i="7"/>
  <c r="G30" i="7"/>
  <c r="G23" i="7"/>
  <c r="F23" i="7"/>
  <c r="H22" i="7"/>
  <c r="H21" i="7"/>
  <c r="H20" i="7"/>
  <c r="H19" i="7"/>
  <c r="H18" i="7"/>
  <c r="H17" i="7"/>
  <c r="H16" i="7"/>
  <c r="H23" i="7" s="1"/>
  <c r="H34" i="7" s="1"/>
  <c r="H15" i="7"/>
  <c r="F14" i="7"/>
  <c r="G64" i="6" l="1"/>
  <c r="G34" i="6"/>
  <c r="G36" i="6" s="1"/>
  <c r="H30" i="6"/>
  <c r="G30" i="6"/>
  <c r="G23" i="6"/>
  <c r="H22" i="6"/>
  <c r="H21" i="6"/>
  <c r="H20" i="6"/>
  <c r="H19" i="6"/>
  <c r="H18" i="6"/>
  <c r="H17" i="6"/>
  <c r="H16" i="6"/>
  <c r="H23" i="6" s="1"/>
  <c r="H34" i="6" s="1"/>
  <c r="H15" i="6"/>
  <c r="F14" i="6"/>
  <c r="G64" i="5"/>
  <c r="G34" i="5"/>
  <c r="F36" i="5" s="1"/>
  <c r="H30" i="5"/>
  <c r="G30" i="5"/>
  <c r="G23" i="5"/>
  <c r="F23" i="5"/>
  <c r="H22" i="5"/>
  <c r="H21" i="5"/>
  <c r="H20" i="5"/>
  <c r="H19" i="5"/>
  <c r="H18" i="5"/>
  <c r="H17" i="5"/>
  <c r="H23" i="5" s="1"/>
  <c r="H34" i="5" s="1"/>
  <c r="H16" i="5"/>
  <c r="H15" i="5"/>
  <c r="F14" i="5"/>
</calcChain>
</file>

<file path=xl/sharedStrings.xml><?xml version="1.0" encoding="utf-8"?>
<sst xmlns="http://schemas.openxmlformats.org/spreadsheetml/2006/main" count="357" uniqueCount="139">
  <si>
    <t>Schedule - "B"</t>
  </si>
  <si>
    <t>Grades for Evaluation</t>
  </si>
  <si>
    <t>GRADE</t>
  </si>
  <si>
    <t>EXPLANATION</t>
  </si>
  <si>
    <t>Score</t>
  </si>
  <si>
    <t>Outstanding (OS)</t>
  </si>
  <si>
    <t>A</t>
  </si>
  <si>
    <t>Performance consistently exceeds the required standards at all times. Highest level of competencies demonstrated. Exemplary performance.</t>
  </si>
  <si>
    <t>80% and above</t>
  </si>
  <si>
    <t>Exceeding Expectations (EE)</t>
  </si>
  <si>
    <t>B</t>
  </si>
  <si>
    <t>Performance is well above the required standards most of the time in accomplishing target/objectives of the assigned task. Exceed normal expectations.</t>
  </si>
  <si>
    <t>70-79%</t>
  </si>
  <si>
    <t>Meeting Expectations (ME)</t>
  </si>
  <si>
    <t>C</t>
  </si>
  <si>
    <t>Performance is consistent &amp; meets the required standards/objectives in all important aspects. Good contributor.</t>
  </si>
  <si>
    <t>60-69%</t>
  </si>
  <si>
    <t>Below Expectations (BE)</t>
  </si>
  <si>
    <t>D</t>
  </si>
  <si>
    <t>Performance is inconsistent &amp; behavior sometimes does not meet the basic requirements/expectations. Performance is generally acceptable but improvement is needed.</t>
  </si>
  <si>
    <t>50-59%</t>
  </si>
  <si>
    <t xml:space="preserve">Serious Deficiencies </t>
  </si>
  <si>
    <t>E</t>
  </si>
  <si>
    <t>Performance falls below expectations on critical factors. Understanding is inadequate, performance &amp; behavior is inconsistent in completing tasks.</t>
  </si>
  <si>
    <t>49% and below</t>
  </si>
  <si>
    <t>Period of evaluation</t>
  </si>
  <si>
    <t>From</t>
  </si>
  <si>
    <t>To</t>
  </si>
  <si>
    <t>Personal Information</t>
  </si>
  <si>
    <t>Employee Name:</t>
  </si>
  <si>
    <t>Emp #</t>
  </si>
  <si>
    <t>-</t>
  </si>
  <si>
    <t>Designation:</t>
  </si>
  <si>
    <t>Scale:</t>
  </si>
  <si>
    <t>Place of Posting:</t>
  </si>
  <si>
    <t>Highest Educational Qualification:</t>
  </si>
  <si>
    <t>Department:</t>
  </si>
  <si>
    <t>Date of Birth:</t>
  </si>
  <si>
    <t>Date of Joining TF:</t>
  </si>
  <si>
    <t>Reporting To:</t>
  </si>
  <si>
    <t>Achievements and Marking</t>
  </si>
  <si>
    <t>Weight</t>
  </si>
  <si>
    <t>Marks</t>
  </si>
  <si>
    <t>Out of</t>
  </si>
  <si>
    <t>Section - 1</t>
  </si>
  <si>
    <t>Performance Evaluation</t>
  </si>
  <si>
    <t>Total Marks 50</t>
  </si>
  <si>
    <t>Key Performance Indicators (KPIs)</t>
  </si>
  <si>
    <r>
      <t xml:space="preserve">New initiatives taken outside the assigned targets </t>
    </r>
    <r>
      <rPr>
        <b/>
        <sz val="10"/>
        <color theme="1"/>
        <rFont val="Arial"/>
        <family val="2"/>
        <scheme val="minor"/>
      </rPr>
      <t>(KPI - D5)</t>
    </r>
  </si>
  <si>
    <r>
      <t xml:space="preserve">Delivered results against assigned targets </t>
    </r>
    <r>
      <rPr>
        <b/>
        <sz val="10"/>
        <color theme="1"/>
        <rFont val="Arial"/>
        <family val="2"/>
        <scheme val="minor"/>
      </rPr>
      <t>(KPI - D3)</t>
    </r>
  </si>
  <si>
    <r>
      <t xml:space="preserve">Delivered results within assigned timelines </t>
    </r>
    <r>
      <rPr>
        <b/>
        <sz val="10"/>
        <color theme="1"/>
        <rFont val="Arial"/>
        <family val="2"/>
        <scheme val="minor"/>
      </rPr>
      <t>(KPI - D3)</t>
    </r>
  </si>
  <si>
    <t>Soft Skills</t>
  </si>
  <si>
    <t>Total Marks 25</t>
  </si>
  <si>
    <t>Professionalism - Competence</t>
  </si>
  <si>
    <t xml:space="preserve">Professionalism - Knowledge </t>
  </si>
  <si>
    <t>Professionalism - Skills</t>
  </si>
  <si>
    <t>Integrity - Initiatives to uphold transparency and Ethical Values</t>
  </si>
  <si>
    <t xml:space="preserve">Care - Initiatives to uphold welfare mandate of Telecom Foundation </t>
  </si>
  <si>
    <t>Section - 2</t>
  </si>
  <si>
    <t xml:space="preserve">Outstanding Achievements </t>
  </si>
  <si>
    <t>Total Marks25</t>
  </si>
  <si>
    <r>
      <t xml:space="preserve">Any additional charge(s) at the same tier for more than 6 months (2 marks max)
</t>
    </r>
    <r>
      <rPr>
        <b/>
        <sz val="10"/>
        <color theme="1"/>
        <rFont val="Arial"/>
        <family val="2"/>
        <scheme val="minor"/>
      </rPr>
      <t>OR</t>
    </r>
    <r>
      <rPr>
        <sz val="10"/>
        <color theme="1"/>
        <rFont val="Arial"/>
        <family val="2"/>
        <scheme val="minor"/>
      </rPr>
      <t xml:space="preserve">
Any acting charge on higher position(s) held for more than 6 months</t>
    </r>
  </si>
  <si>
    <t>Total Marks Achieved</t>
  </si>
  <si>
    <r>
      <t xml:space="preserve">Grade Achieved
</t>
    </r>
    <r>
      <rPr>
        <i/>
        <sz val="10"/>
        <color theme="1"/>
        <rFont val="Arial"/>
        <family val="2"/>
        <scheme val="minor"/>
      </rPr>
      <t xml:space="preserve">Outstanding / Exceed Expectation / Meets Expectation / Below Expectation / Serious Deficiencies </t>
    </r>
  </si>
  <si>
    <t>Increment given according to the grade achieved above
(As per the approval of the management / Board)</t>
  </si>
  <si>
    <t xml:space="preserve">Appraiser’s Signature
DATE: </t>
  </si>
  <si>
    <t>Qualification for Promotion:</t>
  </si>
  <si>
    <t>Section 1</t>
  </si>
  <si>
    <t>Qualification (20 Marks)</t>
  </si>
  <si>
    <t>Mandatory Requirement</t>
  </si>
  <si>
    <t>Minimum Qualification Required for the aspired post</t>
  </si>
  <si>
    <t>Current Qualification of the candidate</t>
  </si>
  <si>
    <t>Qualification requirement fulfilled (Yes / No)</t>
  </si>
  <si>
    <t>Full Marks for "Yes", "0" marks for "No"</t>
  </si>
  <si>
    <t>Section 2</t>
  </si>
  <si>
    <t>Higher education (10 Marks)</t>
  </si>
  <si>
    <t>Additional similar relevant qualification</t>
  </si>
  <si>
    <t>Additional higher relevant qualification</t>
  </si>
  <si>
    <t>Section 3</t>
  </si>
  <si>
    <t>Number of years in current position (6 Marks)</t>
  </si>
  <si>
    <t>Date of promotion to current position</t>
  </si>
  <si>
    <t>Tenure from last promotion till date</t>
  </si>
  <si>
    <t>Is the tenure more than 4 years (Yes / No)</t>
  </si>
  <si>
    <t>Section 4</t>
  </si>
  <si>
    <t>Additional Experience (4 Marks). One mark for every 4 years</t>
  </si>
  <si>
    <t xml:space="preserve">Additional experience on the current position </t>
  </si>
  <si>
    <t>Section 5</t>
  </si>
  <si>
    <t>Performance (60 Marks)</t>
  </si>
  <si>
    <t>Grading in SAR - Current year</t>
  </si>
  <si>
    <t>Grading in SAR - Current year - 1 year</t>
  </si>
  <si>
    <t>Grading in SAR - Current year - 2 year</t>
  </si>
  <si>
    <t>Grading in SAR - Current year - 3 year</t>
  </si>
  <si>
    <r>
      <t xml:space="preserve">Appraiser's Review and Comments: </t>
    </r>
    <r>
      <rPr>
        <i/>
        <sz val="10"/>
        <color theme="1"/>
        <rFont val="Arial"/>
        <family val="2"/>
        <scheme val="minor"/>
      </rPr>
      <t>(To be filled by Principal)</t>
    </r>
  </si>
  <si>
    <t xml:space="preserve">The Employee has been evaluated by me against the promotion criteria </t>
  </si>
  <si>
    <t>The candidate fulfills all the mandatory requirements for promotion (Yes / No)</t>
  </si>
  <si>
    <t>The candidate fulfills all the other requirements for promotion to achieve the desired promotion score (Yes / No)</t>
  </si>
  <si>
    <t>The candidate is recommended for promotion (Yes / No)</t>
  </si>
  <si>
    <r>
      <t xml:space="preserve">Reviewer's Evaluation and Comments: </t>
    </r>
    <r>
      <rPr>
        <i/>
        <sz val="10"/>
        <color theme="1"/>
        <rFont val="Arial"/>
        <family val="2"/>
        <scheme val="minor"/>
      </rPr>
      <t>(To be filled by SM's or GM-SW)</t>
    </r>
  </si>
  <si>
    <t>Recommendation: The assessment done above is verified and endorsed (Yes / No)</t>
  </si>
  <si>
    <r>
      <t xml:space="preserve">Reviewer’s Signature </t>
    </r>
    <r>
      <rPr>
        <i/>
        <sz val="10"/>
        <color theme="1"/>
        <rFont val="Arial"/>
        <family val="2"/>
        <scheme val="minor"/>
      </rPr>
      <t>(To be filled by SM's or GM-SW)</t>
    </r>
    <r>
      <rPr>
        <sz val="10"/>
        <color theme="1"/>
        <rFont val="Arial"/>
        <family val="2"/>
        <scheme val="minor"/>
      </rPr>
      <t xml:space="preserve">
DATE: </t>
    </r>
  </si>
  <si>
    <t>Staff Appraisal Report – I (SAR – I)</t>
  </si>
  <si>
    <t>Schedule "D - 2"</t>
  </si>
  <si>
    <t>(From S-V to S-I)</t>
  </si>
  <si>
    <t>Additional Charge Held (if any) be specified</t>
  </si>
  <si>
    <r>
      <t xml:space="preserve">(Student &amp; Parent) Engagement and Classroom Management </t>
    </r>
    <r>
      <rPr>
        <b/>
        <sz val="10"/>
        <color theme="1"/>
        <rFont val="Arial"/>
        <family val="2"/>
        <scheme val="minor"/>
      </rPr>
      <t>(KPI - D3)</t>
    </r>
  </si>
  <si>
    <r>
      <t xml:space="preserve">Utilization of innovative teaching techniques, multimedia resources, and technology to create interactive and engaging classroom experience </t>
    </r>
    <r>
      <rPr>
        <b/>
        <sz val="10"/>
        <color theme="1"/>
        <rFont val="Arial"/>
        <family val="2"/>
        <scheme val="minor"/>
      </rPr>
      <t>(KPI - D5)</t>
    </r>
  </si>
  <si>
    <r>
      <t xml:space="preserve">Instructional Quality (Lesson planning, diverse teaching method and observation &amp; evaluation of students) </t>
    </r>
    <r>
      <rPr>
        <b/>
        <sz val="10"/>
        <color theme="1"/>
        <rFont val="Arial"/>
        <family val="2"/>
        <scheme val="minor"/>
      </rPr>
      <t>(KPI - D2)</t>
    </r>
  </si>
  <si>
    <r>
      <t xml:space="preserve">Student Achievement and Wellbeing </t>
    </r>
    <r>
      <rPr>
        <b/>
        <sz val="10"/>
        <color theme="1"/>
        <rFont val="Arial"/>
        <family val="2"/>
        <scheme val="minor"/>
      </rPr>
      <t>(KPI - D5)</t>
    </r>
  </si>
  <si>
    <t>Documented Outstanding Achievement(s) verified by reporting GM and endorsed by the President &amp; CEO</t>
  </si>
  <si>
    <r>
      <t xml:space="preserve">Appraiser's Review: </t>
    </r>
    <r>
      <rPr>
        <sz val="10"/>
        <color theme="1"/>
        <rFont val="Arial"/>
        <family val="2"/>
        <scheme val="minor"/>
      </rPr>
      <t xml:space="preserve"> </t>
    </r>
    <r>
      <rPr>
        <i/>
        <sz val="10"/>
        <color theme="1"/>
        <rFont val="Arial"/>
        <family val="2"/>
        <scheme val="minor"/>
      </rPr>
      <t>(To be filled by Principal)</t>
    </r>
  </si>
  <si>
    <r>
      <t>Reviewer's Evaluation and Comments:</t>
    </r>
    <r>
      <rPr>
        <i/>
        <sz val="10"/>
        <color theme="1"/>
        <rFont val="Arial"/>
        <family val="2"/>
        <scheme val="minor"/>
      </rPr>
      <t xml:space="preserve"> (To be filled by SM's or GM-SW)</t>
    </r>
  </si>
  <si>
    <r>
      <t>Reviewer’s Signature</t>
    </r>
    <r>
      <rPr>
        <i/>
        <sz val="10"/>
        <color theme="1"/>
        <rFont val="Arial"/>
        <family val="2"/>
        <scheme val="minor"/>
      </rPr>
      <t xml:space="preserve"> (To be filled by SM's or GM-SW)</t>
    </r>
    <r>
      <rPr>
        <b/>
        <u/>
        <sz val="10"/>
        <color theme="1"/>
        <rFont val="Arial"/>
        <family val="2"/>
        <scheme val="minor"/>
      </rPr>
      <t xml:space="preserve">
DATE: </t>
    </r>
  </si>
  <si>
    <t>Staff Appraisal Report – II (SAR – II)</t>
  </si>
  <si>
    <t>Schedule "D - 3"</t>
  </si>
  <si>
    <t>(From S-VIII to S-VI)</t>
  </si>
  <si>
    <r>
      <t>Appraiser's Review</t>
    </r>
    <r>
      <rPr>
        <b/>
        <sz val="10"/>
        <color theme="1"/>
        <rFont val="Arial"/>
        <family val="2"/>
        <scheme val="minor"/>
      </rPr>
      <t xml:space="preserve"> </t>
    </r>
    <r>
      <rPr>
        <i/>
        <sz val="10"/>
        <color theme="1"/>
        <rFont val="Arial"/>
        <family val="2"/>
        <scheme val="minor"/>
      </rPr>
      <t>(To be filled by Principal)</t>
    </r>
  </si>
  <si>
    <r>
      <t>Reviewer's Evaluation and Comments</t>
    </r>
    <r>
      <rPr>
        <b/>
        <sz val="10"/>
        <color theme="1"/>
        <rFont val="Arial"/>
        <family val="2"/>
        <scheme val="minor"/>
      </rPr>
      <t xml:space="preserve"> </t>
    </r>
    <r>
      <rPr>
        <i/>
        <sz val="10"/>
        <color theme="1"/>
        <rFont val="Arial"/>
        <family val="2"/>
        <scheme val="minor"/>
      </rPr>
      <t>(To be filled by SM's or GM-SW)</t>
    </r>
  </si>
  <si>
    <r>
      <t xml:space="preserve">Appraiser's Review and Comments </t>
    </r>
    <r>
      <rPr>
        <i/>
        <sz val="10"/>
        <color theme="1"/>
        <rFont val="Arial"/>
        <family val="2"/>
        <scheme val="minor"/>
      </rPr>
      <t>(To be filled by Principal)</t>
    </r>
  </si>
  <si>
    <r>
      <t>Delivered results within assigned timelines</t>
    </r>
    <r>
      <rPr>
        <b/>
        <sz val="10"/>
        <color theme="1"/>
        <rFont val="Arial"/>
        <family val="2"/>
        <scheme val="minor"/>
      </rPr>
      <t xml:space="preserve"> (KPI - D3)</t>
    </r>
  </si>
  <si>
    <r>
      <t xml:space="preserve">Attendance and Punctuality </t>
    </r>
    <r>
      <rPr>
        <b/>
        <sz val="10"/>
        <color theme="1"/>
        <rFont val="Arial"/>
        <family val="2"/>
        <scheme val="minor"/>
      </rPr>
      <t>(KPI - D2)</t>
    </r>
  </si>
  <si>
    <r>
      <t>Adherence to Regularity, Punctuality, and Disciplinary Standards</t>
    </r>
    <r>
      <rPr>
        <b/>
        <sz val="10"/>
        <color theme="1"/>
        <rFont val="Arial"/>
        <family val="2"/>
        <scheme val="minor"/>
      </rPr>
      <t xml:space="preserve"> (KPI - D2)</t>
    </r>
  </si>
  <si>
    <r>
      <t xml:space="preserve">Effective Interaction and Communication with Parents and External Stakeholders </t>
    </r>
    <r>
      <rPr>
        <b/>
        <sz val="10"/>
        <color theme="1"/>
        <rFont val="Arial"/>
        <family val="2"/>
        <scheme val="minor"/>
      </rPr>
      <t>(KPI - D3)</t>
    </r>
  </si>
  <si>
    <r>
      <t xml:space="preserve">Maintenance of Discipline and Commitment to Professional Responsibilities </t>
    </r>
    <r>
      <rPr>
        <b/>
        <sz val="10"/>
        <color theme="1"/>
        <rFont val="Arial"/>
        <family val="2"/>
        <scheme val="minor"/>
      </rPr>
      <t>(KPI - D2)</t>
    </r>
    <r>
      <rPr>
        <sz val="10"/>
        <color theme="1"/>
        <rFont val="Arial"/>
        <family val="2"/>
        <scheme val="minor"/>
      </rPr>
      <t xml:space="preserve">
</t>
    </r>
  </si>
  <si>
    <r>
      <t xml:space="preserve">Demonstrated Responsibility and Sincerity Towards Assigned Duties </t>
    </r>
    <r>
      <rPr>
        <b/>
        <sz val="10"/>
        <color theme="1"/>
        <rFont val="Arial"/>
        <family val="2"/>
        <scheme val="minor"/>
      </rPr>
      <t>(KPI - D5)</t>
    </r>
  </si>
  <si>
    <t>*Domestic staff play a crucial role in maintaining the cleanliness, hygiene, and overall environment of schools. Their responsible and sincere approach ensures that schools remain well-maintained and conducive to learning, which supports the smooth operation and successful upgrading or expansion of school facilities.</t>
  </si>
  <si>
    <r>
      <t xml:space="preserve">Oversight of School Cleanliness and Security Measures </t>
    </r>
    <r>
      <rPr>
        <b/>
        <sz val="10"/>
        <color theme="1"/>
        <rFont val="Arial"/>
        <family val="2"/>
        <scheme val="minor"/>
      </rPr>
      <t>(KPI - D5)</t>
    </r>
  </si>
  <si>
    <t>Rizwana Bano</t>
  </si>
  <si>
    <t>Teacher</t>
  </si>
  <si>
    <t>TFES Lahore</t>
  </si>
  <si>
    <t>Principal TFES, Lahore</t>
  </si>
  <si>
    <t>TFES-S-V</t>
  </si>
  <si>
    <t>MA Economics, B.Ed.</t>
  </si>
  <si>
    <t>16-10-2014</t>
  </si>
  <si>
    <t>Assistant Controller examination</t>
  </si>
  <si>
    <t>MA</t>
  </si>
  <si>
    <t>MA, B.Ed.</t>
  </si>
  <si>
    <t>B.Ed.</t>
  </si>
  <si>
    <t>11 years 7 months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</si>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</sst>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[$-409]dd\-mmm\-yy;@"/>
  </numFmts>
  <fonts count="16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u/>
      <sz val="16"/>
      <color theme="1"/>
      <name val="Calibri"/>
      <family val="2"/>
    </font>
    <font>
      <b/>
      <i/>
      <sz val="11"/>
      <color rgb="FF000000"/>
      <name val="Arial"/>
      <family val="2"/>
      <scheme val="minor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77">
    <xf numFmtId="0" fontId="0" fillId="0" borderId="0" xfId="0"/>
    <xf numFmtId="0" fontId="2" fillId="0" borderId="5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  <xf numFmtId="9" fontId="7" fillId="0" borderId="9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18" xfId="0" applyFont="1" applyBorder="1" applyAlignment="1">
      <alignment vertical="center" wrapText="1"/>
    </xf>
    <xf numFmtId="0" fontId="2" fillId="0" borderId="26" xfId="0" applyFont="1" applyBorder="1" applyAlignment="1">
      <alignment vertical="center"/>
    </xf>
    <xf numFmtId="0" fontId="3" fillId="0" borderId="27" xfId="0" applyFont="1" applyBorder="1" applyAlignment="1">
      <alignment horizontal="left" vertical="center"/>
    </xf>
    <xf numFmtId="0" fontId="8" fillId="0" borderId="12" xfId="0" applyFont="1" applyBorder="1" applyAlignment="1">
      <alignment vertical="center"/>
    </xf>
    <xf numFmtId="0" fontId="7" fillId="0" borderId="26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2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7" xfId="0" applyFont="1" applyBorder="1" applyAlignment="1">
      <alignment horizontal="left" vertical="top" wrapText="1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3" fillId="0" borderId="47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58" xfId="0" applyFont="1" applyBorder="1" applyAlignment="1">
      <alignment vertical="center"/>
    </xf>
    <xf numFmtId="0" fontId="3" fillId="0" borderId="26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center" wrapText="1"/>
    </xf>
    <xf numFmtId="14" fontId="15" fillId="0" borderId="9" xfId="0" quotePrefix="1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9" fontId="3" fillId="0" borderId="11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7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3" fillId="0" borderId="7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5" fontId="3" fillId="0" borderId="9" xfId="0" applyNumberFormat="1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 wrapText="1"/>
    </xf>
    <xf numFmtId="9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9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9" fontId="3" fillId="0" borderId="5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24" xfId="0" applyFont="1" applyBorder="1" applyAlignment="1">
      <alignment vertical="center" wrapText="1"/>
    </xf>
    <xf numFmtId="0" fontId="8" fillId="0" borderId="71" xfId="0" applyFont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2" fillId="0" borderId="44" xfId="0" applyFont="1" applyFill="1" applyBorder="1" applyAlignment="1">
      <alignment horizontal="right" vertical="center" wrapText="1"/>
    </xf>
    <xf numFmtId="0" fontId="8" fillId="0" borderId="9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11" fillId="0" borderId="47" xfId="0" applyFont="1" applyFill="1" applyBorder="1" applyAlignment="1">
      <alignment vertical="center" wrapText="1"/>
    </xf>
    <xf numFmtId="0" fontId="8" fillId="0" borderId="47" xfId="0" applyFont="1" applyFill="1" applyBorder="1" applyAlignment="1">
      <alignment horizontal="center" vertical="center"/>
    </xf>
    <xf numFmtId="0" fontId="2" fillId="0" borderId="48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11" fillId="0" borderId="9" xfId="0" applyFont="1" applyFill="1" applyBorder="1" applyAlignment="1">
      <alignment vertical="center" wrapText="1"/>
    </xf>
    <xf numFmtId="0" fontId="11" fillId="0" borderId="47" xfId="0" applyFont="1" applyFill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164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13" fillId="0" borderId="6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6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164" fontId="3" fillId="0" borderId="9" xfId="0" applyNumberFormat="1" applyFont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7" fillId="0" borderId="19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2" fillId="0" borderId="17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0" borderId="70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6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7" fillId="0" borderId="68" xfId="0" applyFont="1" applyBorder="1" applyAlignment="1">
      <alignment horizontal="right" vertical="center"/>
    </xf>
    <xf numFmtId="0" fontId="7" fillId="0" borderId="69" xfId="0" applyFont="1" applyBorder="1" applyAlignment="1">
      <alignment horizontal="right" vertical="center"/>
    </xf>
    <xf numFmtId="0" fontId="3" fillId="0" borderId="17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70" xfId="0" applyFont="1" applyBorder="1" applyAlignment="1">
      <alignment horizontal="left" vertical="top" wrapText="1"/>
    </xf>
    <xf numFmtId="0" fontId="6" fillId="0" borderId="25" xfId="0" applyFont="1" applyBorder="1" applyAlignment="1">
      <alignment horizontal="left" vertical="top" wrapText="1"/>
    </xf>
    <xf numFmtId="0" fontId="3" fillId="0" borderId="17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70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8" fillId="0" borderId="61" xfId="0" applyFont="1" applyBorder="1" applyAlignment="1">
      <alignment vertical="center"/>
    </xf>
    <xf numFmtId="0" fontId="8" fillId="0" borderId="62" xfId="0" applyFont="1" applyBorder="1" applyAlignment="1">
      <alignment vertical="center"/>
    </xf>
    <xf numFmtId="0" fontId="8" fillId="0" borderId="71" xfId="0" applyFont="1" applyBorder="1" applyAlignment="1">
      <alignment vertical="center"/>
    </xf>
    <xf numFmtId="0" fontId="8" fillId="0" borderId="60" xfId="0" applyFont="1" applyBorder="1" applyAlignment="1">
      <alignment vertical="center" wrapText="1"/>
    </xf>
    <xf numFmtId="0" fontId="8" fillId="0" borderId="12" xfId="0" applyFont="1" applyBorder="1" applyAlignment="1">
      <alignment vertical="center"/>
    </xf>
    <xf numFmtId="0" fontId="8" fillId="0" borderId="73" xfId="0" applyFont="1" applyBorder="1" applyAlignment="1">
      <alignment vertical="center"/>
    </xf>
    <xf numFmtId="0" fontId="8" fillId="0" borderId="2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64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70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6" fillId="0" borderId="14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64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9" fillId="0" borderId="34" xfId="0" applyFont="1" applyBorder="1" applyAlignment="1">
      <alignment vertical="center" wrapText="1"/>
    </xf>
    <xf numFmtId="0" fontId="9" fillId="0" borderId="35" xfId="0" applyFont="1" applyBorder="1" applyAlignment="1">
      <alignment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1" fillId="0" borderId="9" xfId="0" applyFont="1" applyFill="1" applyBorder="1" applyAlignment="1">
      <alignment vertical="center" wrapText="1"/>
    </xf>
    <xf numFmtId="0" fontId="2" fillId="0" borderId="37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0" fontId="11" fillId="0" borderId="42" xfId="0" applyFont="1" applyFill="1" applyBorder="1" applyAlignment="1">
      <alignment vertical="center" wrapText="1"/>
    </xf>
    <xf numFmtId="0" fontId="11" fillId="0" borderId="43" xfId="0" applyFont="1" applyFill="1" applyBorder="1" applyAlignment="1">
      <alignment vertical="center" wrapText="1"/>
    </xf>
    <xf numFmtId="0" fontId="11" fillId="0" borderId="17" xfId="0" applyFont="1" applyFill="1" applyBorder="1" applyAlignment="1">
      <alignment vertical="center" wrapText="1"/>
    </xf>
    <xf numFmtId="0" fontId="11" fillId="0" borderId="19" xfId="0" applyFont="1" applyFill="1" applyBorder="1" applyAlignment="1">
      <alignment vertical="center" wrapText="1"/>
    </xf>
    <xf numFmtId="0" fontId="11" fillId="0" borderId="18" xfId="0" applyFont="1" applyFill="1" applyBorder="1" applyAlignment="1">
      <alignment vertical="center" wrapText="1"/>
    </xf>
    <xf numFmtId="0" fontId="9" fillId="0" borderId="34" xfId="0" applyFont="1" applyFill="1" applyBorder="1" applyAlignment="1">
      <alignment horizontal="justify" vertical="center" wrapText="1"/>
    </xf>
    <xf numFmtId="0" fontId="9" fillId="0" borderId="35" xfId="0" applyFont="1" applyFill="1" applyBorder="1" applyAlignment="1">
      <alignment horizontal="justify" vertical="center" wrapText="1"/>
    </xf>
    <xf numFmtId="0" fontId="9" fillId="0" borderId="36" xfId="0" applyFont="1" applyFill="1" applyBorder="1" applyAlignment="1">
      <alignment horizontal="justify" vertical="center" wrapText="1"/>
    </xf>
    <xf numFmtId="0" fontId="11" fillId="0" borderId="47" xfId="0" applyFont="1" applyFill="1" applyBorder="1" applyAlignment="1">
      <alignment vertical="center" wrapText="1"/>
    </xf>
    <xf numFmtId="0" fontId="9" fillId="0" borderId="34" xfId="0" applyFont="1" applyFill="1" applyBorder="1" applyAlignment="1">
      <alignment vertical="center" wrapText="1"/>
    </xf>
    <xf numFmtId="0" fontId="9" fillId="0" borderId="35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10" fillId="0" borderId="36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11" fillId="0" borderId="42" xfId="0" applyFont="1" applyBorder="1" applyAlignment="1">
      <alignment vertical="center" wrapText="1"/>
    </xf>
    <xf numFmtId="0" fontId="11" fillId="0" borderId="43" xfId="0" applyFont="1" applyBorder="1" applyAlignment="1">
      <alignment vertical="center" wrapText="1"/>
    </xf>
    <xf numFmtId="0" fontId="11" fillId="0" borderId="44" xfId="0" applyFont="1" applyBorder="1" applyAlignment="1">
      <alignment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6" fillId="0" borderId="54" xfId="0" applyFont="1" applyBorder="1" applyAlignment="1">
      <alignment vertical="top"/>
    </xf>
    <xf numFmtId="0" fontId="6" fillId="0" borderId="55" xfId="0" applyFont="1" applyBorder="1" applyAlignment="1">
      <alignment vertical="top"/>
    </xf>
    <xf numFmtId="0" fontId="6" fillId="0" borderId="56" xfId="0" applyFont="1" applyBorder="1" applyAlignment="1">
      <alignment vertical="top"/>
    </xf>
    <xf numFmtId="0" fontId="2" fillId="0" borderId="57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3" fillId="0" borderId="22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59" xfId="0" applyFont="1" applyBorder="1" applyAlignment="1">
      <alignment horizontal="left" vertical="top" wrapText="1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3" fillId="0" borderId="8" xfId="0" applyFont="1" applyBorder="1" applyAlignment="1">
      <alignment vertical="center"/>
    </xf>
    <xf numFmtId="15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 wrapText="1"/>
    </xf>
    <xf numFmtId="165" fontId="3" fillId="0" borderId="21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70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59" xfId="0" applyFont="1" applyBorder="1" applyAlignment="1">
      <alignment horizontal="left"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2" fillId="0" borderId="70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10"/>
  <sheetViews>
    <sheetView workbookViewId="0">
      <selection activeCell="D14" sqref="D14"/>
    </sheetView>
  </sheetViews>
  <sheetFormatPr defaultRowHeight="14.25" x14ac:dyDescent="0.2"/>
  <cols>
    <col min="1" max="1" width="2.125" customWidth="1"/>
    <col min="2" max="2" width="5.5" customWidth="1"/>
    <col min="3" max="3" width="22.125" customWidth="1"/>
    <col min="4" max="4" width="7.875" customWidth="1"/>
    <col min="5" max="5" width="52.5" customWidth="1"/>
    <col min="6" max="6" width="16" customWidth="1"/>
    <col min="7" max="8" width="14.875" customWidth="1"/>
  </cols>
  <sheetData>
    <row r="1" spans="2:6" ht="15" thickBot="1" x14ac:dyDescent="0.25">
      <c r="F1" t="s">
        <v>0</v>
      </c>
    </row>
    <row r="2" spans="2:6" ht="21" thickBot="1" x14ac:dyDescent="0.35">
      <c r="B2" s="121" t="s">
        <v>1</v>
      </c>
      <c r="C2" s="122"/>
      <c r="D2" s="122"/>
      <c r="E2" s="122"/>
      <c r="F2" s="123"/>
    </row>
    <row r="3" spans="2:6" ht="15" thickBot="1" x14ac:dyDescent="0.25"/>
    <row r="4" spans="2:6" s="2" customFormat="1" ht="27" customHeight="1" thickBot="1" x14ac:dyDescent="0.25">
      <c r="B4" s="124" t="s">
        <v>2</v>
      </c>
      <c r="C4" s="125"/>
      <c r="D4" s="125"/>
      <c r="E4" s="1" t="s">
        <v>3</v>
      </c>
      <c r="F4" s="1" t="s">
        <v>4</v>
      </c>
    </row>
    <row r="5" spans="2:6" s="2" customFormat="1" ht="38.25" x14ac:dyDescent="0.2">
      <c r="B5" s="3">
        <v>5</v>
      </c>
      <c r="C5" s="4" t="s">
        <v>5</v>
      </c>
      <c r="D5" s="5" t="s">
        <v>6</v>
      </c>
      <c r="E5" s="4" t="s">
        <v>7</v>
      </c>
      <c r="F5" s="4" t="s">
        <v>8</v>
      </c>
    </row>
    <row r="6" spans="2:6" s="2" customFormat="1" ht="38.25" x14ac:dyDescent="0.2">
      <c r="B6" s="6">
        <v>4</v>
      </c>
      <c r="C6" s="7" t="s">
        <v>9</v>
      </c>
      <c r="D6" s="8" t="s">
        <v>10</v>
      </c>
      <c r="E6" s="7" t="s">
        <v>11</v>
      </c>
      <c r="F6" s="7" t="s">
        <v>12</v>
      </c>
    </row>
    <row r="7" spans="2:6" s="2" customFormat="1" ht="25.5" x14ac:dyDescent="0.2">
      <c r="B7" s="6">
        <v>3</v>
      </c>
      <c r="C7" s="7" t="s">
        <v>13</v>
      </c>
      <c r="D7" s="8" t="s">
        <v>14</v>
      </c>
      <c r="E7" s="7" t="s">
        <v>15</v>
      </c>
      <c r="F7" s="7" t="s">
        <v>16</v>
      </c>
    </row>
    <row r="8" spans="2:6" s="2" customFormat="1" ht="38.25" x14ac:dyDescent="0.2">
      <c r="B8" s="6">
        <v>2</v>
      </c>
      <c r="C8" s="7" t="s">
        <v>17</v>
      </c>
      <c r="D8" s="8" t="s">
        <v>18</v>
      </c>
      <c r="E8" s="7" t="s">
        <v>19</v>
      </c>
      <c r="F8" s="7" t="s">
        <v>20</v>
      </c>
    </row>
    <row r="9" spans="2:6" s="2" customFormat="1" ht="39" thickBot="1" x14ac:dyDescent="0.25">
      <c r="B9" s="9">
        <v>1</v>
      </c>
      <c r="C9" s="10" t="s">
        <v>21</v>
      </c>
      <c r="D9" s="11" t="s">
        <v>22</v>
      </c>
      <c r="E9" s="10" t="s">
        <v>23</v>
      </c>
      <c r="F9" s="10" t="s">
        <v>24</v>
      </c>
    </row>
    <row r="10" spans="2:6" s="2" customFormat="1" ht="12.75" x14ac:dyDescent="0.2">
      <c r="B10" s="12"/>
      <c r="F10" s="13"/>
    </row>
  </sheetData>
  <mergeCells count="2">
    <mergeCell ref="B2:F2"/>
    <mergeCell ref="B4:D4"/>
  </mergeCells>
  <pageMargins left="0.7" right="0.7" top="0.75" bottom="0.75" header="0.3" footer="0.3"/>
  <pageSetup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75"/>
  <sheetViews>
    <sheetView zoomScaleNormal="100" workbookViewId="0">
      <selection activeCell="B1" sqref="B1:H75"/>
    </sheetView>
  </sheetViews>
  <sheetFormatPr defaultColWidth="9.125" defaultRowHeight="12.75" x14ac:dyDescent="0.2"/>
  <cols>
    <col min="1" max="1" width="2.125" style="2" customWidth="1"/>
    <col min="2" max="2" width="9.5" style="12" bestFit="1" customWidth="1"/>
    <col min="3" max="3" width="23.75" style="2" bestFit="1" customWidth="1"/>
    <col min="4" max="4" width="19.125" style="2" customWidth="1"/>
    <col min="5" max="5" width="37.875" style="2" customWidth="1"/>
    <col min="6" max="6" width="6.875" style="13" bestFit="1" customWidth="1"/>
    <col min="7" max="8" width="6" style="13" bestFit="1" customWidth="1"/>
    <col min="9" max="10" width="14.875" style="2" customWidth="1"/>
    <col min="11" max="16384" width="9.125" style="2"/>
  </cols>
  <sheetData>
    <row r="1" spans="2:10" ht="15.6" customHeight="1" x14ac:dyDescent="0.2">
      <c r="B1" s="130" t="s">
        <v>100</v>
      </c>
      <c r="C1" s="131"/>
      <c r="D1" s="131"/>
      <c r="E1" s="131"/>
      <c r="F1" s="132" t="s">
        <v>101</v>
      </c>
      <c r="G1" s="132"/>
      <c r="H1" s="133"/>
    </row>
    <row r="2" spans="2:10" ht="12.95" customHeight="1" thickBot="1" x14ac:dyDescent="0.25">
      <c r="B2" s="134" t="s">
        <v>102</v>
      </c>
      <c r="C2" s="135"/>
      <c r="D2" s="135"/>
      <c r="E2" s="135"/>
      <c r="F2" s="135"/>
      <c r="G2" s="135"/>
      <c r="H2" s="136"/>
    </row>
    <row r="3" spans="2:10" ht="14.45" customHeight="1" x14ac:dyDescent="0.2">
      <c r="B3" s="137" t="s">
        <v>25</v>
      </c>
      <c r="C3" s="138"/>
      <c r="D3" s="138"/>
      <c r="E3" s="138"/>
      <c r="F3" s="138"/>
      <c r="G3" s="139"/>
      <c r="H3" s="140"/>
    </row>
    <row r="4" spans="2:10" s="13" customFormat="1" ht="18" customHeight="1" x14ac:dyDescent="0.2">
      <c r="B4" s="14" t="s">
        <v>26</v>
      </c>
      <c r="C4" s="15">
        <v>45839</v>
      </c>
      <c r="D4" s="61" t="s">
        <v>27</v>
      </c>
      <c r="E4" s="141">
        <v>46203</v>
      </c>
      <c r="F4" s="141"/>
      <c r="G4" s="142"/>
      <c r="H4" s="143"/>
      <c r="I4" s="16"/>
      <c r="J4" s="16"/>
    </row>
    <row r="5" spans="2:10" ht="17.45" customHeight="1" x14ac:dyDescent="0.2">
      <c r="B5" s="126" t="s">
        <v>28</v>
      </c>
      <c r="C5" s="127"/>
      <c r="D5" s="127"/>
      <c r="E5" s="127"/>
      <c r="F5" s="127"/>
      <c r="G5" s="128"/>
      <c r="H5" s="129"/>
      <c r="I5" s="17"/>
      <c r="J5" s="17"/>
    </row>
    <row r="6" spans="2:10" ht="21.6" customHeight="1" x14ac:dyDescent="0.2">
      <c r="B6" s="144" t="s">
        <v>29</v>
      </c>
      <c r="C6" s="145"/>
      <c r="D6" s="7" t="s">
        <v>126</v>
      </c>
      <c r="E6" s="7" t="s">
        <v>30</v>
      </c>
      <c r="F6" s="146"/>
      <c r="G6" s="147"/>
      <c r="H6" s="148"/>
      <c r="I6" s="18"/>
      <c r="J6" s="18"/>
    </row>
    <row r="7" spans="2:10" ht="21.6" customHeight="1" x14ac:dyDescent="0.2">
      <c r="B7" s="149" t="s">
        <v>32</v>
      </c>
      <c r="C7" s="150"/>
      <c r="D7" s="7" t="s">
        <v>127</v>
      </c>
      <c r="E7" s="7" t="s">
        <v>33</v>
      </c>
      <c r="F7" s="146" t="s">
        <v>130</v>
      </c>
      <c r="G7" s="147"/>
      <c r="H7" s="148"/>
      <c r="I7" s="18"/>
      <c r="J7" s="18"/>
    </row>
    <row r="8" spans="2:10" ht="21.6" customHeight="1" x14ac:dyDescent="0.2">
      <c r="B8" s="149" t="s">
        <v>34</v>
      </c>
      <c r="C8" s="150"/>
      <c r="D8" s="7" t="s">
        <v>128</v>
      </c>
      <c r="E8" s="7" t="s">
        <v>35</v>
      </c>
      <c r="F8" s="146" t="s">
        <v>131</v>
      </c>
      <c r="G8" s="147"/>
      <c r="H8" s="148"/>
      <c r="I8" s="18"/>
      <c r="J8" s="18"/>
    </row>
    <row r="9" spans="2:10" ht="21.6" customHeight="1" x14ac:dyDescent="0.2">
      <c r="B9" s="149" t="s">
        <v>36</v>
      </c>
      <c r="C9" s="150"/>
      <c r="D9" s="7" t="s">
        <v>128</v>
      </c>
      <c r="E9" s="7" t="s">
        <v>37</v>
      </c>
      <c r="F9" s="151">
        <v>28166</v>
      </c>
      <c r="G9" s="147"/>
      <c r="H9" s="148"/>
      <c r="I9" s="18"/>
      <c r="J9" s="18"/>
    </row>
    <row r="10" spans="2:10" ht="21.6" customHeight="1" x14ac:dyDescent="0.2">
      <c r="B10" s="149" t="s">
        <v>38</v>
      </c>
      <c r="C10" s="150"/>
      <c r="D10" s="62" t="s">
        <v>132</v>
      </c>
      <c r="E10" s="19" t="s">
        <v>103</v>
      </c>
      <c r="F10" s="146" t="s">
        <v>133</v>
      </c>
      <c r="G10" s="147"/>
      <c r="H10" s="148"/>
      <c r="I10" s="18"/>
      <c r="J10" s="17"/>
    </row>
    <row r="11" spans="2:10" ht="21.6" customHeight="1" x14ac:dyDescent="0.2">
      <c r="B11" s="149" t="s">
        <v>39</v>
      </c>
      <c r="C11" s="150"/>
      <c r="D11" s="147" t="s">
        <v>129</v>
      </c>
      <c r="E11" s="152"/>
      <c r="F11" s="152"/>
      <c r="G11" s="152"/>
      <c r="H11" s="153"/>
      <c r="I11" s="18"/>
      <c r="J11" s="18"/>
    </row>
    <row r="12" spans="2:10" ht="16.5" customHeight="1" x14ac:dyDescent="0.2">
      <c r="B12" s="154" t="s">
        <v>40</v>
      </c>
      <c r="C12" s="155"/>
      <c r="D12" s="155"/>
      <c r="E12" s="155"/>
      <c r="F12" s="20" t="s">
        <v>41</v>
      </c>
      <c r="G12" s="21" t="s">
        <v>42</v>
      </c>
      <c r="H12" s="22" t="s">
        <v>43</v>
      </c>
      <c r="I12" s="18"/>
      <c r="J12" s="18"/>
    </row>
    <row r="13" spans="2:10" ht="15.95" customHeight="1" x14ac:dyDescent="0.2">
      <c r="B13" s="23" t="s">
        <v>44</v>
      </c>
      <c r="C13" s="24" t="s">
        <v>45</v>
      </c>
      <c r="D13" s="156" t="s">
        <v>46</v>
      </c>
      <c r="E13" s="156"/>
      <c r="F13" s="156"/>
      <c r="G13" s="156"/>
      <c r="H13" s="157"/>
      <c r="I13" s="25"/>
    </row>
    <row r="14" spans="2:10" ht="15.75" customHeight="1" x14ac:dyDescent="0.2">
      <c r="B14" s="26" t="s">
        <v>6</v>
      </c>
      <c r="C14" s="158" t="s">
        <v>47</v>
      </c>
      <c r="D14" s="159"/>
      <c r="E14" s="160"/>
      <c r="F14" s="27">
        <f>SUM(F15:F22)</f>
        <v>1</v>
      </c>
      <c r="G14" s="21">
        <v>50</v>
      </c>
      <c r="H14" s="63">
        <v>50</v>
      </c>
      <c r="I14" s="12"/>
      <c r="J14" s="12"/>
    </row>
    <row r="15" spans="2:10" ht="14.45" customHeight="1" x14ac:dyDescent="0.2">
      <c r="B15" s="26">
        <v>1</v>
      </c>
      <c r="C15" s="150" t="s">
        <v>104</v>
      </c>
      <c r="D15" s="150"/>
      <c r="E15" s="150"/>
      <c r="F15" s="28">
        <v>0.2</v>
      </c>
      <c r="G15" s="63">
        <v>9</v>
      </c>
      <c r="H15" s="63">
        <f>$G$14*F15</f>
        <v>10</v>
      </c>
      <c r="I15" s="12"/>
      <c r="J15" s="12"/>
    </row>
    <row r="16" spans="2:10" ht="23.45" customHeight="1" x14ac:dyDescent="0.2">
      <c r="B16" s="26">
        <v>2</v>
      </c>
      <c r="C16" s="150" t="s">
        <v>105</v>
      </c>
      <c r="D16" s="150"/>
      <c r="E16" s="150"/>
      <c r="F16" s="28">
        <v>0.15</v>
      </c>
      <c r="G16" s="63">
        <v>5.5</v>
      </c>
      <c r="H16" s="63">
        <f t="shared" ref="H16:H22" si="0">$G$14*F16</f>
        <v>7.5</v>
      </c>
      <c r="I16" s="12"/>
      <c r="J16" s="12"/>
    </row>
    <row r="17" spans="2:10" ht="24.95" customHeight="1" x14ac:dyDescent="0.2">
      <c r="B17" s="26">
        <v>3</v>
      </c>
      <c r="C17" s="150" t="s">
        <v>106</v>
      </c>
      <c r="D17" s="150"/>
      <c r="E17" s="150"/>
      <c r="F17" s="28">
        <v>0.12</v>
      </c>
      <c r="G17" s="63">
        <v>5.5</v>
      </c>
      <c r="H17" s="63">
        <f t="shared" si="0"/>
        <v>6</v>
      </c>
      <c r="I17" s="12"/>
      <c r="J17" s="12"/>
    </row>
    <row r="18" spans="2:10" ht="14.1" customHeight="1" x14ac:dyDescent="0.2">
      <c r="B18" s="26">
        <v>4</v>
      </c>
      <c r="C18" s="150" t="s">
        <v>107</v>
      </c>
      <c r="D18" s="150"/>
      <c r="E18" s="150"/>
      <c r="F18" s="28">
        <v>7.0000000000000007E-2</v>
      </c>
      <c r="G18" s="63">
        <v>3</v>
      </c>
      <c r="H18" s="63">
        <f t="shared" si="0"/>
        <v>3.5000000000000004</v>
      </c>
      <c r="I18" s="12"/>
      <c r="J18" s="12"/>
    </row>
    <row r="19" spans="2:10" ht="14.45" customHeight="1" x14ac:dyDescent="0.2">
      <c r="B19" s="26">
        <v>5</v>
      </c>
      <c r="C19" s="150" t="s">
        <v>119</v>
      </c>
      <c r="D19" s="150"/>
      <c r="E19" s="150"/>
      <c r="F19" s="29">
        <v>0.06</v>
      </c>
      <c r="G19" s="63">
        <v>3</v>
      </c>
      <c r="H19" s="63">
        <f t="shared" si="0"/>
        <v>3</v>
      </c>
      <c r="I19" s="30"/>
      <c r="J19" s="30"/>
    </row>
    <row r="20" spans="2:10" x14ac:dyDescent="0.2">
      <c r="B20" s="26">
        <v>6</v>
      </c>
      <c r="C20" s="164" t="s">
        <v>48</v>
      </c>
      <c r="D20" s="164"/>
      <c r="E20" s="164"/>
      <c r="F20" s="28">
        <v>0.08</v>
      </c>
      <c r="G20" s="63">
        <v>3.5</v>
      </c>
      <c r="H20" s="63">
        <f t="shared" si="0"/>
        <v>4</v>
      </c>
    </row>
    <row r="21" spans="2:10" x14ac:dyDescent="0.2">
      <c r="B21" s="26">
        <v>7</v>
      </c>
      <c r="C21" s="164" t="s">
        <v>49</v>
      </c>
      <c r="D21" s="164"/>
      <c r="E21" s="164"/>
      <c r="F21" s="28">
        <v>0.16</v>
      </c>
      <c r="G21" s="63">
        <v>7.5</v>
      </c>
      <c r="H21" s="63">
        <f t="shared" si="0"/>
        <v>8</v>
      </c>
    </row>
    <row r="22" spans="2:10" ht="15" customHeight="1" thickBot="1" x14ac:dyDescent="0.25">
      <c r="B22" s="64">
        <v>8</v>
      </c>
      <c r="C22" s="165" t="s">
        <v>50</v>
      </c>
      <c r="D22" s="165"/>
      <c r="E22" s="165"/>
      <c r="F22" s="65">
        <v>0.16</v>
      </c>
      <c r="G22" s="66">
        <v>7.5</v>
      </c>
      <c r="H22" s="66">
        <f t="shared" si="0"/>
        <v>8</v>
      </c>
    </row>
    <row r="23" spans="2:10" ht="15" customHeight="1" thickBot="1" x14ac:dyDescent="0.25">
      <c r="B23" s="67"/>
      <c r="C23" s="166"/>
      <c r="D23" s="167"/>
      <c r="E23" s="168"/>
      <c r="F23" s="68">
        <f>SUM(F15:F22)</f>
        <v>1</v>
      </c>
      <c r="G23" s="69">
        <f>SUM(G15:G22)</f>
        <v>44.5</v>
      </c>
      <c r="H23" s="70">
        <f>SUM(H15:H22)</f>
        <v>50</v>
      </c>
    </row>
    <row r="24" spans="2:10" ht="15" customHeight="1" x14ac:dyDescent="0.2">
      <c r="B24" s="71" t="s">
        <v>10</v>
      </c>
      <c r="C24" s="72" t="s">
        <v>51</v>
      </c>
      <c r="D24" s="169" t="s">
        <v>52</v>
      </c>
      <c r="E24" s="169"/>
      <c r="F24" s="169"/>
      <c r="G24" s="169"/>
      <c r="H24" s="170"/>
      <c r="I24" s="12"/>
      <c r="J24" s="12"/>
    </row>
    <row r="25" spans="2:10" x14ac:dyDescent="0.2">
      <c r="B25" s="26">
        <v>1</v>
      </c>
      <c r="C25" s="171" t="s">
        <v>53</v>
      </c>
      <c r="D25" s="172"/>
      <c r="E25" s="173"/>
      <c r="F25" s="32"/>
      <c r="G25" s="73">
        <v>4.5</v>
      </c>
      <c r="H25" s="33">
        <v>5</v>
      </c>
    </row>
    <row r="26" spans="2:10" x14ac:dyDescent="0.2">
      <c r="B26" s="26">
        <v>2</v>
      </c>
      <c r="C26" s="171" t="s">
        <v>54</v>
      </c>
      <c r="D26" s="172"/>
      <c r="E26" s="173"/>
      <c r="F26" s="32"/>
      <c r="G26" s="73">
        <v>4.5</v>
      </c>
      <c r="H26" s="33">
        <v>5</v>
      </c>
    </row>
    <row r="27" spans="2:10" x14ac:dyDescent="0.2">
      <c r="B27" s="26">
        <v>3</v>
      </c>
      <c r="C27" s="171" t="s">
        <v>55</v>
      </c>
      <c r="D27" s="172"/>
      <c r="E27" s="173"/>
      <c r="F27" s="32"/>
      <c r="G27" s="73">
        <v>4.5</v>
      </c>
      <c r="H27" s="33">
        <v>5</v>
      </c>
    </row>
    <row r="28" spans="2:10" x14ac:dyDescent="0.2">
      <c r="B28" s="26">
        <v>4</v>
      </c>
      <c r="C28" s="171" t="s">
        <v>56</v>
      </c>
      <c r="D28" s="172"/>
      <c r="E28" s="173"/>
      <c r="F28" s="32"/>
      <c r="G28" s="73">
        <v>5</v>
      </c>
      <c r="H28" s="33">
        <v>5</v>
      </c>
    </row>
    <row r="29" spans="2:10" ht="13.5" thickBot="1" x14ac:dyDescent="0.25">
      <c r="B29" s="64">
        <v>5</v>
      </c>
      <c r="C29" s="161" t="s">
        <v>57</v>
      </c>
      <c r="D29" s="162"/>
      <c r="E29" s="163"/>
      <c r="F29" s="74"/>
      <c r="G29" s="75">
        <v>5</v>
      </c>
      <c r="H29" s="76">
        <v>5</v>
      </c>
    </row>
    <row r="30" spans="2:10" ht="13.5" thickBot="1" x14ac:dyDescent="0.25">
      <c r="B30" s="77"/>
      <c r="C30" s="166"/>
      <c r="D30" s="167"/>
      <c r="E30" s="168"/>
      <c r="F30" s="78"/>
      <c r="G30" s="69">
        <f>SUM(G25:G29)</f>
        <v>23.5</v>
      </c>
      <c r="H30" s="70">
        <f>SUM(H25:H29)</f>
        <v>25</v>
      </c>
    </row>
    <row r="31" spans="2:10" x14ac:dyDescent="0.2">
      <c r="B31" s="79" t="s">
        <v>58</v>
      </c>
      <c r="C31" s="72" t="s">
        <v>59</v>
      </c>
      <c r="D31" s="169" t="s">
        <v>60</v>
      </c>
      <c r="E31" s="169"/>
      <c r="F31" s="169"/>
      <c r="G31" s="169"/>
      <c r="H31" s="170"/>
    </row>
    <row r="32" spans="2:10" ht="20.45" customHeight="1" x14ac:dyDescent="0.2">
      <c r="B32" s="26" t="s">
        <v>6</v>
      </c>
      <c r="C32" s="178" t="s">
        <v>108</v>
      </c>
      <c r="D32" s="179"/>
      <c r="E32" s="180"/>
      <c r="F32" s="32"/>
      <c r="G32" s="73"/>
      <c r="H32" s="33">
        <v>20</v>
      </c>
    </row>
    <row r="33" spans="2:10" ht="39.6" customHeight="1" thickBot="1" x14ac:dyDescent="0.25">
      <c r="B33" s="64" t="s">
        <v>10</v>
      </c>
      <c r="C33" s="181" t="s">
        <v>61</v>
      </c>
      <c r="D33" s="182"/>
      <c r="E33" s="183"/>
      <c r="F33" s="74"/>
      <c r="G33" s="75"/>
      <c r="H33" s="76">
        <v>5</v>
      </c>
    </row>
    <row r="34" spans="2:10" s="30" customFormat="1" ht="13.5" thickBot="1" x14ac:dyDescent="0.25">
      <c r="B34" s="184" t="s">
        <v>62</v>
      </c>
      <c r="C34" s="185"/>
      <c r="D34" s="185"/>
      <c r="E34" s="186"/>
      <c r="F34" s="54"/>
      <c r="G34" s="80">
        <f>G29+G28+G27+G26+G25+G22+G21+G20+G18+G17+G16+G15+G32+G33+G19</f>
        <v>68</v>
      </c>
      <c r="H34" s="81">
        <f>SUM(H23,H30,H32,H33)</f>
        <v>100</v>
      </c>
    </row>
    <row r="35" spans="2:10" ht="13.5" thickBot="1" x14ac:dyDescent="0.25">
      <c r="B35" s="36"/>
      <c r="H35" s="37"/>
    </row>
    <row r="36" spans="2:10" s="30" customFormat="1" ht="26.45" customHeight="1" x14ac:dyDescent="0.2">
      <c r="B36" s="187" t="s">
        <v>63</v>
      </c>
      <c r="C36" s="188"/>
      <c r="D36" s="188"/>
      <c r="E36" s="189"/>
      <c r="F36" s="190" t="str">
        <f>IF(G34&gt;79, "OS", IF(G34&gt;69,"EE", IF(G34&gt;59, "ME", IF(G34&gt;49,"BE","SD"))))</f>
        <v>ME</v>
      </c>
      <c r="G36" s="191"/>
      <c r="H36" s="192"/>
    </row>
    <row r="37" spans="2:10" s="30" customFormat="1" ht="27.95" customHeight="1" thickBot="1" x14ac:dyDescent="0.25">
      <c r="B37" s="193" t="s">
        <v>64</v>
      </c>
      <c r="C37" s="194"/>
      <c r="D37" s="194"/>
      <c r="E37" s="194"/>
      <c r="F37" s="195"/>
      <c r="G37" s="196"/>
      <c r="H37" s="197"/>
    </row>
    <row r="38" spans="2:10" s="30" customFormat="1" ht="9.75" customHeight="1" thickBot="1" x14ac:dyDescent="0.25">
      <c r="B38" s="39"/>
      <c r="C38" s="40"/>
      <c r="D38" s="40"/>
      <c r="E38" s="40"/>
      <c r="F38" s="41"/>
      <c r="G38" s="41"/>
      <c r="H38" s="42"/>
    </row>
    <row r="39" spans="2:10" ht="78.95" customHeight="1" x14ac:dyDescent="0.2">
      <c r="B39" s="198" t="s">
        <v>109</v>
      </c>
      <c r="C39" s="199"/>
      <c r="D39" s="199"/>
      <c r="E39" s="199"/>
      <c r="F39" s="199"/>
      <c r="G39" s="200"/>
      <c r="H39" s="201"/>
      <c r="I39" s="43"/>
      <c r="J39" s="43"/>
    </row>
    <row r="40" spans="2:10" ht="39.950000000000003" customHeight="1" thickBot="1" x14ac:dyDescent="0.25">
      <c r="B40" s="202" t="s">
        <v>65</v>
      </c>
      <c r="C40" s="203"/>
      <c r="D40" s="203"/>
      <c r="E40" s="203"/>
      <c r="F40" s="203"/>
      <c r="G40" s="204"/>
      <c r="H40" s="205"/>
    </row>
    <row r="41" spans="2:10" ht="15" customHeight="1" thickBot="1" x14ac:dyDescent="0.25">
      <c r="B41" s="44"/>
      <c r="C41" s="45"/>
      <c r="D41" s="45"/>
      <c r="E41" s="45"/>
      <c r="F41" s="45"/>
      <c r="G41" s="45"/>
      <c r="H41" s="46"/>
    </row>
    <row r="42" spans="2:10" ht="68.099999999999994" customHeight="1" x14ac:dyDescent="0.2">
      <c r="B42" s="206" t="s">
        <v>110</v>
      </c>
      <c r="C42" s="207"/>
      <c r="D42" s="207"/>
      <c r="E42" s="207"/>
      <c r="F42" s="207"/>
      <c r="G42" s="208"/>
      <c r="H42" s="209"/>
      <c r="I42" s="43"/>
      <c r="J42" s="43"/>
    </row>
    <row r="43" spans="2:10" ht="55.5" customHeight="1" thickBot="1" x14ac:dyDescent="0.25">
      <c r="B43" s="174" t="s">
        <v>111</v>
      </c>
      <c r="C43" s="175"/>
      <c r="D43" s="175"/>
      <c r="E43" s="175"/>
      <c r="F43" s="175"/>
      <c r="G43" s="176"/>
      <c r="H43" s="177"/>
    </row>
    <row r="44" spans="2:10" ht="13.5" thickBot="1" x14ac:dyDescent="0.25"/>
    <row r="45" spans="2:10" ht="13.5" thickBot="1" x14ac:dyDescent="0.25">
      <c r="B45" s="210" t="s">
        <v>66</v>
      </c>
      <c r="C45" s="211"/>
      <c r="D45" s="211"/>
      <c r="E45" s="211"/>
      <c r="F45" s="47" t="s">
        <v>42</v>
      </c>
      <c r="G45" s="48" t="s">
        <v>43</v>
      </c>
    </row>
    <row r="46" spans="2:10" ht="13.5" thickTop="1" x14ac:dyDescent="0.2">
      <c r="B46" s="49" t="s">
        <v>67</v>
      </c>
      <c r="C46" s="212" t="s">
        <v>68</v>
      </c>
      <c r="D46" s="213"/>
      <c r="E46" s="214" t="s">
        <v>69</v>
      </c>
      <c r="F46" s="214"/>
      <c r="G46" s="215"/>
    </row>
    <row r="47" spans="2:10" x14ac:dyDescent="0.2">
      <c r="B47" s="34"/>
      <c r="C47" s="216" t="s">
        <v>70</v>
      </c>
      <c r="D47" s="216"/>
      <c r="E47" s="102" t="s">
        <v>134</v>
      </c>
      <c r="F47" s="217">
        <v>20</v>
      </c>
      <c r="G47" s="220">
        <v>20</v>
      </c>
    </row>
    <row r="48" spans="2:10" x14ac:dyDescent="0.2">
      <c r="B48" s="34"/>
      <c r="C48" s="216" t="s">
        <v>71</v>
      </c>
      <c r="D48" s="216"/>
      <c r="E48" s="102" t="s">
        <v>135</v>
      </c>
      <c r="F48" s="218"/>
      <c r="G48" s="221"/>
    </row>
    <row r="49" spans="2:7" ht="13.5" thickBot="1" x14ac:dyDescent="0.25">
      <c r="B49" s="50"/>
      <c r="C49" s="223" t="s">
        <v>72</v>
      </c>
      <c r="D49" s="224"/>
      <c r="E49" s="103" t="s">
        <v>73</v>
      </c>
      <c r="F49" s="219"/>
      <c r="G49" s="222"/>
    </row>
    <row r="50" spans="2:7" ht="13.5" thickTop="1" x14ac:dyDescent="0.2">
      <c r="B50" s="49" t="s">
        <v>74</v>
      </c>
      <c r="C50" s="228" t="s">
        <v>75</v>
      </c>
      <c r="D50" s="229"/>
      <c r="E50" s="229"/>
      <c r="F50" s="229"/>
      <c r="G50" s="230"/>
    </row>
    <row r="51" spans="2:7" x14ac:dyDescent="0.2">
      <c r="B51" s="34"/>
      <c r="C51" s="216" t="s">
        <v>76</v>
      </c>
      <c r="D51" s="216"/>
      <c r="E51" s="102"/>
      <c r="F51" s="104">
        <v>2</v>
      </c>
      <c r="G51" s="105">
        <v>4</v>
      </c>
    </row>
    <row r="52" spans="2:7" ht="13.5" thickBot="1" x14ac:dyDescent="0.25">
      <c r="B52" s="50"/>
      <c r="C52" s="231" t="s">
        <v>77</v>
      </c>
      <c r="D52" s="231"/>
      <c r="E52" s="106" t="s">
        <v>136</v>
      </c>
      <c r="F52" s="107">
        <v>6</v>
      </c>
      <c r="G52" s="108">
        <v>6</v>
      </c>
    </row>
    <row r="53" spans="2:7" ht="13.5" thickTop="1" x14ac:dyDescent="0.2">
      <c r="B53" s="49" t="s">
        <v>78</v>
      </c>
      <c r="C53" s="232" t="s">
        <v>79</v>
      </c>
      <c r="D53" s="233"/>
      <c r="E53" s="234" t="s">
        <v>69</v>
      </c>
      <c r="F53" s="234"/>
      <c r="G53" s="235"/>
    </row>
    <row r="54" spans="2:7" x14ac:dyDescent="0.2">
      <c r="B54" s="34"/>
      <c r="C54" s="216" t="s">
        <v>80</v>
      </c>
      <c r="D54" s="216"/>
      <c r="E54" s="102" t="s">
        <v>132</v>
      </c>
      <c r="F54" s="217">
        <v>6</v>
      </c>
      <c r="G54" s="220">
        <v>6</v>
      </c>
    </row>
    <row r="55" spans="2:7" x14ac:dyDescent="0.2">
      <c r="B55" s="34"/>
      <c r="C55" s="216" t="s">
        <v>81</v>
      </c>
      <c r="D55" s="216"/>
      <c r="E55" s="102" t="s">
        <v>137</v>
      </c>
      <c r="F55" s="218"/>
      <c r="G55" s="221"/>
    </row>
    <row r="56" spans="2:7" ht="13.5" thickBot="1" x14ac:dyDescent="0.25">
      <c r="B56" s="50"/>
      <c r="C56" s="223" t="s">
        <v>82</v>
      </c>
      <c r="D56" s="236"/>
      <c r="E56" s="103" t="s">
        <v>73</v>
      </c>
      <c r="F56" s="219"/>
      <c r="G56" s="222"/>
    </row>
    <row r="57" spans="2:7" ht="13.5" thickTop="1" x14ac:dyDescent="0.2">
      <c r="B57" s="49" t="s">
        <v>83</v>
      </c>
      <c r="C57" s="228" t="s">
        <v>84</v>
      </c>
      <c r="D57" s="229"/>
      <c r="E57" s="229"/>
      <c r="F57" s="229"/>
      <c r="G57" s="230"/>
    </row>
    <row r="58" spans="2:7" ht="13.5" thickBot="1" x14ac:dyDescent="0.25">
      <c r="B58" s="50"/>
      <c r="C58" s="223" t="s">
        <v>85</v>
      </c>
      <c r="D58" s="224"/>
      <c r="E58" s="236"/>
      <c r="F58" s="109">
        <v>2</v>
      </c>
      <c r="G58" s="108">
        <v>4</v>
      </c>
    </row>
    <row r="59" spans="2:7" ht="13.5" thickTop="1" x14ac:dyDescent="0.2">
      <c r="B59" s="49" t="s">
        <v>86</v>
      </c>
      <c r="C59" s="232" t="s">
        <v>87</v>
      </c>
      <c r="D59" s="233"/>
      <c r="E59" s="234" t="s">
        <v>69</v>
      </c>
      <c r="F59" s="234"/>
      <c r="G59" s="235"/>
    </row>
    <row r="60" spans="2:7" x14ac:dyDescent="0.2">
      <c r="B60" s="34"/>
      <c r="C60" s="225" t="s">
        <v>88</v>
      </c>
      <c r="D60" s="226"/>
      <c r="E60" s="227"/>
      <c r="F60" s="110">
        <v>30</v>
      </c>
      <c r="G60" s="105">
        <v>40</v>
      </c>
    </row>
    <row r="61" spans="2:7" x14ac:dyDescent="0.2">
      <c r="B61" s="34"/>
      <c r="C61" s="225" t="s">
        <v>89</v>
      </c>
      <c r="D61" s="226"/>
      <c r="E61" s="227"/>
      <c r="F61" s="111">
        <v>7</v>
      </c>
      <c r="G61" s="105">
        <v>10</v>
      </c>
    </row>
    <row r="62" spans="2:7" x14ac:dyDescent="0.2">
      <c r="B62" s="34"/>
      <c r="C62" s="237" t="s">
        <v>90</v>
      </c>
      <c r="D62" s="238"/>
      <c r="E62" s="239"/>
      <c r="F62" s="32">
        <v>4</v>
      </c>
      <c r="G62" s="52">
        <v>7</v>
      </c>
    </row>
    <row r="63" spans="2:7" ht="13.5" thickBot="1" x14ac:dyDescent="0.25">
      <c r="B63" s="50"/>
      <c r="C63" s="240" t="s">
        <v>91</v>
      </c>
      <c r="D63" s="241"/>
      <c r="E63" s="242"/>
      <c r="F63" s="51">
        <v>2</v>
      </c>
      <c r="G63" s="53">
        <v>3</v>
      </c>
    </row>
    <row r="64" spans="2:7" ht="14.25" thickTop="1" thickBot="1" x14ac:dyDescent="0.25">
      <c r="B64" s="243" t="s">
        <v>62</v>
      </c>
      <c r="C64" s="244"/>
      <c r="D64" s="244"/>
      <c r="E64" s="245"/>
      <c r="F64" s="54">
        <v>79</v>
      </c>
      <c r="G64" s="55">
        <f>SUM(G47:G63)</f>
        <v>100</v>
      </c>
    </row>
    <row r="65" spans="2:7" ht="13.5" thickBot="1" x14ac:dyDescent="0.25">
      <c r="B65" s="36"/>
      <c r="G65" s="56"/>
    </row>
    <row r="66" spans="2:7" ht="50.1" customHeight="1" x14ac:dyDescent="0.2">
      <c r="B66" s="246" t="s">
        <v>92</v>
      </c>
      <c r="C66" s="247"/>
      <c r="D66" s="247"/>
      <c r="E66" s="247"/>
      <c r="F66" s="247"/>
      <c r="G66" s="248"/>
    </row>
    <row r="67" spans="2:7" x14ac:dyDescent="0.2">
      <c r="B67" s="249" t="s">
        <v>93</v>
      </c>
      <c r="C67" s="159"/>
      <c r="D67" s="159"/>
      <c r="E67" s="159"/>
      <c r="F67" s="159"/>
      <c r="G67" s="250"/>
    </row>
    <row r="68" spans="2:7" x14ac:dyDescent="0.2">
      <c r="B68" s="34">
        <v>1</v>
      </c>
      <c r="C68" s="171" t="s">
        <v>94</v>
      </c>
      <c r="D68" s="172"/>
      <c r="E68" s="173"/>
      <c r="F68" s="32" t="s">
        <v>138</v>
      </c>
      <c r="G68" s="33"/>
    </row>
    <row r="69" spans="2:7" x14ac:dyDescent="0.2">
      <c r="B69" s="34">
        <v>2</v>
      </c>
      <c r="C69" s="171" t="s">
        <v>95</v>
      </c>
      <c r="D69" s="172"/>
      <c r="E69" s="173"/>
      <c r="F69" s="32" t="s">
        <v>138</v>
      </c>
      <c r="G69" s="33"/>
    </row>
    <row r="70" spans="2:7" x14ac:dyDescent="0.2">
      <c r="B70" s="57">
        <v>3</v>
      </c>
      <c r="C70" s="171" t="s">
        <v>96</v>
      </c>
      <c r="D70" s="172"/>
      <c r="E70" s="173"/>
      <c r="F70" s="32" t="s">
        <v>138</v>
      </c>
      <c r="G70" s="33"/>
    </row>
    <row r="71" spans="2:7" ht="42" customHeight="1" thickBot="1" x14ac:dyDescent="0.25">
      <c r="B71" s="251" t="s">
        <v>65</v>
      </c>
      <c r="C71" s="252"/>
      <c r="D71" s="252"/>
      <c r="E71" s="252"/>
      <c r="F71" s="252"/>
      <c r="G71" s="253"/>
    </row>
    <row r="72" spans="2:7" ht="13.5" thickBot="1" x14ac:dyDescent="0.25">
      <c r="B72" s="58"/>
      <c r="C72" s="59"/>
      <c r="D72" s="59"/>
      <c r="E72" s="59"/>
      <c r="F72" s="59"/>
      <c r="G72" s="60"/>
    </row>
    <row r="73" spans="2:7" ht="60.95" customHeight="1" x14ac:dyDescent="0.2">
      <c r="B73" s="254" t="s">
        <v>97</v>
      </c>
      <c r="C73" s="255"/>
      <c r="D73" s="255"/>
      <c r="E73" s="255"/>
      <c r="F73" s="255"/>
      <c r="G73" s="256"/>
    </row>
    <row r="74" spans="2:7" ht="27" customHeight="1" x14ac:dyDescent="0.2">
      <c r="B74" s="257" t="s">
        <v>98</v>
      </c>
      <c r="C74" s="164"/>
      <c r="D74" s="164"/>
      <c r="E74" s="164"/>
      <c r="F74" s="32"/>
      <c r="G74" s="33"/>
    </row>
    <row r="75" spans="2:7" ht="45.6" customHeight="1" thickBot="1" x14ac:dyDescent="0.25">
      <c r="B75" s="202" t="s">
        <v>99</v>
      </c>
      <c r="C75" s="203"/>
      <c r="D75" s="203"/>
      <c r="E75" s="203"/>
      <c r="F75" s="203"/>
      <c r="G75" s="205"/>
    </row>
  </sheetData>
  <mergeCells count="85">
    <mergeCell ref="B75:G75"/>
    <mergeCell ref="C62:E62"/>
    <mergeCell ref="C63:E63"/>
    <mergeCell ref="B64:E64"/>
    <mergeCell ref="B66:G66"/>
    <mergeCell ref="B67:G67"/>
    <mergeCell ref="C68:E68"/>
    <mergeCell ref="C69:E69"/>
    <mergeCell ref="C70:E70"/>
    <mergeCell ref="B71:G71"/>
    <mergeCell ref="B73:G73"/>
    <mergeCell ref="B74:E74"/>
    <mergeCell ref="C61:E61"/>
    <mergeCell ref="C50:G50"/>
    <mergeCell ref="C51:D51"/>
    <mergeCell ref="C52:D52"/>
    <mergeCell ref="C53:D53"/>
    <mergeCell ref="E53:G53"/>
    <mergeCell ref="C54:D54"/>
    <mergeCell ref="F54:F56"/>
    <mergeCell ref="G54:G56"/>
    <mergeCell ref="C55:D55"/>
    <mergeCell ref="C56:D56"/>
    <mergeCell ref="C57:G57"/>
    <mergeCell ref="C58:E58"/>
    <mergeCell ref="C59:D59"/>
    <mergeCell ref="E59:G59"/>
    <mergeCell ref="C60:E60"/>
    <mergeCell ref="B45:E45"/>
    <mergeCell ref="C46:D46"/>
    <mergeCell ref="E46:G46"/>
    <mergeCell ref="C47:D47"/>
    <mergeCell ref="F47:F49"/>
    <mergeCell ref="G47:G49"/>
    <mergeCell ref="C48:D48"/>
    <mergeCell ref="C49:D49"/>
    <mergeCell ref="B43:H43"/>
    <mergeCell ref="C30:E30"/>
    <mergeCell ref="D31:H31"/>
    <mergeCell ref="C32:E32"/>
    <mergeCell ref="C33:E33"/>
    <mergeCell ref="B34:E34"/>
    <mergeCell ref="B36:E36"/>
    <mergeCell ref="F36:H36"/>
    <mergeCell ref="B37:E37"/>
    <mergeCell ref="F37:H37"/>
    <mergeCell ref="B39:H39"/>
    <mergeCell ref="B40:H40"/>
    <mergeCell ref="B42:H42"/>
    <mergeCell ref="C29:E29"/>
    <mergeCell ref="C18:E18"/>
    <mergeCell ref="C19:E19"/>
    <mergeCell ref="C20:E20"/>
    <mergeCell ref="C21:E21"/>
    <mergeCell ref="C22:E22"/>
    <mergeCell ref="C23:E23"/>
    <mergeCell ref="D24:H24"/>
    <mergeCell ref="C25:E25"/>
    <mergeCell ref="C26:E26"/>
    <mergeCell ref="C27:E27"/>
    <mergeCell ref="C28:E28"/>
    <mergeCell ref="C17:E17"/>
    <mergeCell ref="B9:C9"/>
    <mergeCell ref="F9:H9"/>
    <mergeCell ref="B10:C10"/>
    <mergeCell ref="F10:H10"/>
    <mergeCell ref="B11:C11"/>
    <mergeCell ref="D11:H11"/>
    <mergeCell ref="B12:E12"/>
    <mergeCell ref="D13:H13"/>
    <mergeCell ref="C14:E14"/>
    <mergeCell ref="C15:E15"/>
    <mergeCell ref="C16:E16"/>
    <mergeCell ref="B6:C6"/>
    <mergeCell ref="F6:H6"/>
    <mergeCell ref="B7:C7"/>
    <mergeCell ref="F7:H7"/>
    <mergeCell ref="B8:C8"/>
    <mergeCell ref="F8:H8"/>
    <mergeCell ref="B5:H5"/>
    <mergeCell ref="B1:E1"/>
    <mergeCell ref="F1:H1"/>
    <mergeCell ref="B2:H2"/>
    <mergeCell ref="B3:H3"/>
    <mergeCell ref="E4:H4"/>
  </mergeCells>
  <printOptions horizontalCentered="1"/>
  <pageMargins left="0.7" right="0.7" top="0.75" bottom="0.75" header="0.3" footer="0.3"/>
  <pageSetup paperSize="9" scale="8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75"/>
  <sheetViews>
    <sheetView tabSelected="1" workbookViewId="0">
      <selection activeCell="A37" sqref="A37"/>
    </sheetView>
  </sheetViews>
  <sheetFormatPr defaultRowHeight="14.25" x14ac:dyDescent="0.2"/>
  <cols>
    <col min="1" max="1" width="0.75" customWidth="1"/>
    <col min="8" max="8" width="46.625" customWidth="1"/>
  </cols>
  <sheetData>
    <row r="1" spans="2:8" ht="21" x14ac:dyDescent="0.2">
      <c r="B1" s="130" t="s">
        <v>100</v>
      </c>
      <c r="C1" s="131"/>
      <c r="D1" s="131"/>
      <c r="E1" s="131"/>
      <c r="F1" s="132" t="s">
        <v>101</v>
      </c>
      <c r="G1" s="132"/>
      <c r="H1" s="133"/>
    </row>
    <row r="2" spans="2:8" ht="15" thickBot="1" x14ac:dyDescent="0.25">
      <c r="B2" s="134" t="s">
        <v>102</v>
      </c>
      <c r="C2" s="135"/>
      <c r="D2" s="135"/>
      <c r="E2" s="135"/>
      <c r="F2" s="135"/>
      <c r="G2" s="135"/>
      <c r="H2" s="136"/>
    </row>
    <row r="3" spans="2:8" x14ac:dyDescent="0.2">
      <c r="B3" s="137" t="s">
        <v>25</v>
      </c>
      <c r="C3" s="138"/>
      <c r="D3" s="138"/>
      <c r="E3" s="138"/>
      <c r="F3" s="138"/>
      <c r="G3" s="139"/>
      <c r="H3" s="140"/>
    </row>
    <row r="4" spans="2:8" x14ac:dyDescent="0.2">
      <c r="B4" s="14" t="s">
        <v>26</v>
      </c>
      <c r="C4" s="118">
        <v>45839</v>
      </c>
      <c r="D4" s="61" t="s">
        <v>27</v>
      </c>
      <c r="E4" s="141">
        <v>46203</v>
      </c>
      <c r="F4" s="141"/>
      <c r="G4" s="142"/>
      <c r="H4" s="143"/>
    </row>
    <row r="5" spans="2:8" x14ac:dyDescent="0.2">
      <c r="B5" s="126" t="s">
        <v>28</v>
      </c>
      <c r="C5" s="127"/>
      <c r="D5" s="127"/>
      <c r="E5" s="127"/>
      <c r="F5" s="127"/>
      <c r="G5" s="128"/>
      <c r="H5" s="129"/>
    </row>
    <row r="6" spans="2:8" ht="25.5" x14ac:dyDescent="0.2">
      <c r="B6" s="144" t="s">
        <v>29</v>
      </c>
      <c r="C6" s="145"/>
      <c r="D6" s="115" t="s">
        <v>126</v>
      </c>
      <c r="E6" s="115" t="s">
        <v>30</v>
      </c>
      <c r="F6" s="146"/>
      <c r="G6" s="147"/>
      <c r="H6" s="148"/>
    </row>
    <row r="7" spans="2:8" x14ac:dyDescent="0.2">
      <c r="B7" s="149" t="s">
        <v>32</v>
      </c>
      <c r="C7" s="150"/>
      <c r="D7" s="115" t="s">
        <v>127</v>
      </c>
      <c r="E7" s="115" t="s">
        <v>33</v>
      </c>
      <c r="F7" s="146" t="s">
        <v>130</v>
      </c>
      <c r="G7" s="147"/>
      <c r="H7" s="148"/>
    </row>
    <row r="8" spans="2:8" ht="63.75" x14ac:dyDescent="0.2">
      <c r="B8" s="149" t="s">
        <v>34</v>
      </c>
      <c r="C8" s="150"/>
      <c r="D8" s="115" t="s">
        <v>128</v>
      </c>
      <c r="E8" s="115" t="s">
        <v>35</v>
      </c>
      <c r="F8" s="146" t="s">
        <v>131</v>
      </c>
      <c r="G8" s="147"/>
      <c r="H8" s="148"/>
    </row>
    <row r="9" spans="2:8" ht="25.5" x14ac:dyDescent="0.2">
      <c r="B9" s="149" t="s">
        <v>36</v>
      </c>
      <c r="C9" s="150"/>
      <c r="D9" s="115" t="s">
        <v>128</v>
      </c>
      <c r="E9" s="115" t="s">
        <v>37</v>
      </c>
      <c r="F9" s="151">
        <v>28166</v>
      </c>
      <c r="G9" s="147"/>
      <c r="H9" s="148"/>
    </row>
    <row r="10" spans="2:8" x14ac:dyDescent="0.2">
      <c r="B10" s="149" t="s">
        <v>38</v>
      </c>
      <c r="C10" s="150"/>
      <c r="D10" s="62" t="s">
        <v>132</v>
      </c>
      <c r="E10" s="112" t="s">
        <v>103</v>
      </c>
      <c r="F10" s="146" t="s">
        <v>133</v>
      </c>
      <c r="G10" s="147"/>
      <c r="H10" s="148"/>
    </row>
    <row r="11" spans="2:8" x14ac:dyDescent="0.2">
      <c r="B11" s="149" t="s">
        <v>39</v>
      </c>
      <c r="C11" s="150"/>
      <c r="D11" s="147" t="s">
        <v>129</v>
      </c>
      <c r="E11" s="152"/>
      <c r="F11" s="152"/>
      <c r="G11" s="152"/>
      <c r="H11" s="153"/>
    </row>
    <row r="12" spans="2:8" x14ac:dyDescent="0.2">
      <c r="B12" s="154" t="s">
        <v>40</v>
      </c>
      <c r="C12" s="155"/>
      <c r="D12" s="155"/>
      <c r="E12" s="155"/>
      <c r="F12" s="117" t="s">
        <v>41</v>
      </c>
      <c r="G12" s="21" t="s">
        <v>42</v>
      </c>
      <c r="H12" s="22" t="s">
        <v>43</v>
      </c>
    </row>
    <row r="13" spans="2:8" ht="51" x14ac:dyDescent="0.2">
      <c r="B13" s="116" t="s">
        <v>44</v>
      </c>
      <c r="C13" s="24" t="s">
        <v>45</v>
      </c>
      <c r="D13" s="156" t="s">
        <v>46</v>
      </c>
      <c r="E13" s="156"/>
      <c r="F13" s="156"/>
      <c r="G13" s="156"/>
      <c r="H13" s="157"/>
    </row>
    <row r="14" spans="2:8" x14ac:dyDescent="0.2">
      <c r="B14" s="26" t="s">
        <v>6</v>
      </c>
      <c r="C14" s="158" t="s">
        <v>47</v>
      </c>
      <c r="D14" s="159"/>
      <c r="E14" s="160"/>
      <c r="F14" s="27">
        <f>SUM(F15:F22)</f>
        <v>1</v>
      </c>
      <c r="G14" s="21">
        <v>50</v>
      </c>
      <c r="H14" s="63">
        <v>50</v>
      </c>
    </row>
    <row r="15" spans="2:8" x14ac:dyDescent="0.2">
      <c r="B15" s="26">
        <v>1</v>
      </c>
      <c r="C15" s="150" t="s">
        <v>104</v>
      </c>
      <c r="D15" s="150"/>
      <c r="E15" s="150"/>
      <c r="F15" s="28">
        <v>0.2</v>
      </c>
      <c r="G15" s="63">
        <v>9</v>
      </c>
      <c r="H15" s="63">
        <f>$G$14*F15</f>
        <v>10</v>
      </c>
    </row>
    <row r="16" spans="2:8" x14ac:dyDescent="0.2">
      <c r="B16" s="26">
        <v>2</v>
      </c>
      <c r="C16" s="150" t="s">
        <v>105</v>
      </c>
      <c r="D16" s="150"/>
      <c r="E16" s="150"/>
      <c r="F16" s="28">
        <v>0.15</v>
      </c>
      <c r="G16" s="63">
        <v>5.5</v>
      </c>
      <c r="H16" s="63">
        <f t="shared" ref="H16:H22" si="0">$G$14*F16</f>
        <v>7.5</v>
      </c>
    </row>
    <row r="17" spans="2:8" x14ac:dyDescent="0.2">
      <c r="B17" s="26">
        <v>3</v>
      </c>
      <c r="C17" s="150" t="s">
        <v>106</v>
      </c>
      <c r="D17" s="150"/>
      <c r="E17" s="150"/>
      <c r="F17" s="28">
        <v>0.12</v>
      </c>
      <c r="G17" s="63">
        <v>5.5</v>
      </c>
      <c r="H17" s="63">
        <f t="shared" si="0"/>
        <v>6</v>
      </c>
    </row>
    <row r="18" spans="2:8" x14ac:dyDescent="0.2">
      <c r="B18" s="26">
        <v>4</v>
      </c>
      <c r="C18" s="150" t="s">
        <v>107</v>
      </c>
      <c r="D18" s="150"/>
      <c r="E18" s="150"/>
      <c r="F18" s="28">
        <v>7.0000000000000007E-2</v>
      </c>
      <c r="G18" s="63">
        <v>3</v>
      </c>
      <c r="H18" s="63">
        <f t="shared" si="0"/>
        <v>3.5000000000000004</v>
      </c>
    </row>
    <row r="19" spans="2:8" x14ac:dyDescent="0.2">
      <c r="B19" s="26">
        <v>5</v>
      </c>
      <c r="C19" s="150" t="s">
        <v>119</v>
      </c>
      <c r="D19" s="150"/>
      <c r="E19" s="150"/>
      <c r="F19" s="29">
        <v>0.06</v>
      </c>
      <c r="G19" s="63">
        <v>3</v>
      </c>
      <c r="H19" s="63">
        <f t="shared" si="0"/>
        <v>3</v>
      </c>
    </row>
    <row r="20" spans="2:8" x14ac:dyDescent="0.2">
      <c r="B20" s="26">
        <v>6</v>
      </c>
      <c r="C20" s="164" t="s">
        <v>48</v>
      </c>
      <c r="D20" s="164"/>
      <c r="E20" s="164"/>
      <c r="F20" s="28">
        <v>0.08</v>
      </c>
      <c r="G20" s="63">
        <v>3.5</v>
      </c>
      <c r="H20" s="63">
        <f t="shared" si="0"/>
        <v>4</v>
      </c>
    </row>
    <row r="21" spans="2:8" x14ac:dyDescent="0.2">
      <c r="B21" s="26">
        <v>7</v>
      </c>
      <c r="C21" s="164" t="s">
        <v>49</v>
      </c>
      <c r="D21" s="164"/>
      <c r="E21" s="164"/>
      <c r="F21" s="28">
        <v>0.16</v>
      </c>
      <c r="G21" s="63">
        <v>7.5</v>
      </c>
      <c r="H21" s="63">
        <f t="shared" si="0"/>
        <v>8</v>
      </c>
    </row>
    <row r="22" spans="2:8" ht="15" thickBot="1" x14ac:dyDescent="0.25">
      <c r="B22" s="64">
        <v>8</v>
      </c>
      <c r="C22" s="165" t="s">
        <v>50</v>
      </c>
      <c r="D22" s="165"/>
      <c r="E22" s="165"/>
      <c r="F22" s="65">
        <v>0.16</v>
      </c>
      <c r="G22" s="66">
        <v>7.5</v>
      </c>
      <c r="H22" s="66">
        <f t="shared" si="0"/>
        <v>8</v>
      </c>
    </row>
    <row r="23" spans="2:8" ht="15" thickBot="1" x14ac:dyDescent="0.25">
      <c r="B23" s="67"/>
      <c r="C23" s="166"/>
      <c r="D23" s="167"/>
      <c r="E23" s="168"/>
      <c r="F23" s="68">
        <f>SUM(F15:F22)</f>
        <v>1</v>
      </c>
      <c r="G23" s="69">
        <f>SUM(G15:G22)</f>
        <v>44.5</v>
      </c>
      <c r="H23" s="70">
        <f>SUM(H15:H22)</f>
        <v>50</v>
      </c>
    </row>
    <row r="24" spans="2:8" x14ac:dyDescent="0.2">
      <c r="B24" s="71" t="s">
        <v>10</v>
      </c>
      <c r="C24" s="72" t="s">
        <v>51</v>
      </c>
      <c r="D24" s="169" t="s">
        <v>52</v>
      </c>
      <c r="E24" s="169"/>
      <c r="F24" s="169"/>
      <c r="G24" s="169"/>
      <c r="H24" s="170"/>
    </row>
    <row r="25" spans="2:8" x14ac:dyDescent="0.2">
      <c r="B25" s="26">
        <v>1</v>
      </c>
      <c r="C25" s="171" t="s">
        <v>53</v>
      </c>
      <c r="D25" s="172"/>
      <c r="E25" s="173"/>
      <c r="F25" s="119"/>
      <c r="G25" s="73">
        <v>4.5</v>
      </c>
      <c r="H25" s="120">
        <v>5</v>
      </c>
    </row>
    <row r="26" spans="2:8" x14ac:dyDescent="0.2">
      <c r="B26" s="26">
        <v>2</v>
      </c>
      <c r="C26" s="171" t="s">
        <v>54</v>
      </c>
      <c r="D26" s="172"/>
      <c r="E26" s="173"/>
      <c r="F26" s="119"/>
      <c r="G26" s="73">
        <v>4.5</v>
      </c>
      <c r="H26" s="120">
        <v>5</v>
      </c>
    </row>
    <row r="27" spans="2:8" x14ac:dyDescent="0.2">
      <c r="B27" s="26">
        <v>3</v>
      </c>
      <c r="C27" s="171" t="s">
        <v>55</v>
      </c>
      <c r="D27" s="172"/>
      <c r="E27" s="173"/>
      <c r="F27" s="119"/>
      <c r="G27" s="73">
        <v>4.5</v>
      </c>
      <c r="H27" s="120">
        <v>5</v>
      </c>
    </row>
    <row r="28" spans="2:8" x14ac:dyDescent="0.2">
      <c r="B28" s="26">
        <v>4</v>
      </c>
      <c r="C28" s="171" t="s">
        <v>56</v>
      </c>
      <c r="D28" s="172"/>
      <c r="E28" s="173"/>
      <c r="F28" s="119"/>
      <c r="G28" s="73">
        <v>5</v>
      </c>
      <c r="H28" s="120">
        <v>5</v>
      </c>
    </row>
    <row r="29" spans="2:8" ht="15" thickBot="1" x14ac:dyDescent="0.25">
      <c r="B29" s="64">
        <v>5</v>
      </c>
      <c r="C29" s="161" t="s">
        <v>57</v>
      </c>
      <c r="D29" s="162"/>
      <c r="E29" s="163"/>
      <c r="F29" s="74"/>
      <c r="G29" s="75">
        <v>5</v>
      </c>
      <c r="H29" s="76">
        <v>5</v>
      </c>
    </row>
    <row r="30" spans="2:8" ht="15" thickBot="1" x14ac:dyDescent="0.25">
      <c r="B30" s="77"/>
      <c r="C30" s="166"/>
      <c r="D30" s="167"/>
      <c r="E30" s="168"/>
      <c r="F30" s="78"/>
      <c r="G30" s="69">
        <f>SUM(G25:G29)</f>
        <v>23.5</v>
      </c>
      <c r="H30" s="70">
        <f>SUM(H25:H29)</f>
        <v>25</v>
      </c>
    </row>
    <row r="31" spans="2:8" x14ac:dyDescent="0.2">
      <c r="B31" s="79" t="s">
        <v>58</v>
      </c>
      <c r="C31" s="72" t="s">
        <v>59</v>
      </c>
      <c r="D31" s="169" t="s">
        <v>60</v>
      </c>
      <c r="E31" s="169"/>
      <c r="F31" s="169"/>
      <c r="G31" s="169"/>
      <c r="H31" s="170"/>
    </row>
    <row r="32" spans="2:8" ht="20.25" customHeight="1" x14ac:dyDescent="0.2">
      <c r="B32" s="26" t="s">
        <v>6</v>
      </c>
      <c r="C32" s="178" t="s">
        <v>108</v>
      </c>
      <c r="D32" s="179"/>
      <c r="E32" s="180"/>
      <c r="F32" s="119"/>
      <c r="G32" s="73"/>
      <c r="H32" s="120">
        <v>20</v>
      </c>
    </row>
    <row r="33" spans="2:8" ht="23.25" customHeight="1" thickBot="1" x14ac:dyDescent="0.25">
      <c r="B33" s="64" t="s">
        <v>10</v>
      </c>
      <c r="C33" s="181" t="s">
        <v>61</v>
      </c>
      <c r="D33" s="182"/>
      <c r="E33" s="183"/>
      <c r="F33" s="74"/>
      <c r="G33" s="75"/>
      <c r="H33" s="76">
        <v>5</v>
      </c>
    </row>
    <row r="34" spans="2:8" ht="15" thickBot="1" x14ac:dyDescent="0.25">
      <c r="B34" s="184" t="s">
        <v>62</v>
      </c>
      <c r="C34" s="185"/>
      <c r="D34" s="185"/>
      <c r="E34" s="186"/>
      <c r="F34" s="54"/>
      <c r="G34" s="80">
        <f>G29+G28+G27+G26+G25+G22+G21+G20+G18+G17+G16+G15+G32+G33+G19</f>
        <v>68</v>
      </c>
      <c r="H34" s="81">
        <f>SUM(H23,H30,H32,H33)</f>
        <v>100</v>
      </c>
    </row>
    <row r="35" spans="2:8" ht="22.5" customHeight="1" thickBot="1" x14ac:dyDescent="0.25">
      <c r="B35" s="36"/>
      <c r="C35" s="2"/>
      <c r="D35" s="2"/>
      <c r="E35" s="2"/>
      <c r="F35" s="13"/>
      <c r="G35" s="13"/>
      <c r="H35" s="37"/>
    </row>
    <row r="36" spans="2:8" ht="33.75" customHeight="1" x14ac:dyDescent="0.2">
      <c r="B36" s="187" t="s">
        <v>63</v>
      </c>
      <c r="C36" s="188"/>
      <c r="D36" s="188"/>
      <c r="E36" s="189"/>
      <c r="F36" s="190" t="str">
        <f>IF(G34&gt;79, "OS", IF(G34&gt;69,"EE", IF(G34&gt;59, "ME", IF(G34&gt;49,"BE","SD"))))</f>
        <v>ME</v>
      </c>
      <c r="G36" s="191"/>
      <c r="H36" s="192"/>
    </row>
    <row r="37" spans="2:8" ht="48" customHeight="1" thickBot="1" x14ac:dyDescent="0.25">
      <c r="B37" s="193" t="s">
        <v>64</v>
      </c>
      <c r="C37" s="194"/>
      <c r="D37" s="194"/>
      <c r="E37" s="194"/>
      <c r="F37" s="195"/>
      <c r="G37" s="196"/>
      <c r="H37" s="197"/>
    </row>
    <row r="38" spans="2:8" ht="15" thickBot="1" x14ac:dyDescent="0.25">
      <c r="B38" s="39"/>
      <c r="C38" s="40"/>
      <c r="D38" s="40"/>
      <c r="E38" s="40"/>
      <c r="F38" s="41"/>
      <c r="G38" s="41"/>
      <c r="H38" s="42"/>
    </row>
    <row r="39" spans="2:8" x14ac:dyDescent="0.2">
      <c r="B39" s="198" t="s">
        <v>109</v>
      </c>
      <c r="C39" s="199"/>
      <c r="D39" s="199"/>
      <c r="E39" s="199"/>
      <c r="F39" s="199"/>
      <c r="G39" s="200"/>
      <c r="H39" s="201"/>
    </row>
    <row r="40" spans="2:8" ht="15" thickBot="1" x14ac:dyDescent="0.25">
      <c r="B40" s="202" t="s">
        <v>65</v>
      </c>
      <c r="C40" s="203"/>
      <c r="D40" s="203"/>
      <c r="E40" s="203"/>
      <c r="F40" s="203"/>
      <c r="G40" s="204"/>
      <c r="H40" s="205"/>
    </row>
    <row r="41" spans="2:8" ht="15" thickBot="1" x14ac:dyDescent="0.25">
      <c r="B41" s="44"/>
      <c r="C41" s="45"/>
      <c r="D41" s="45"/>
      <c r="E41" s="45"/>
      <c r="F41" s="45"/>
      <c r="G41" s="45"/>
      <c r="H41" s="46"/>
    </row>
    <row r="42" spans="2:8" x14ac:dyDescent="0.2">
      <c r="B42" s="206" t="s">
        <v>110</v>
      </c>
      <c r="C42" s="207"/>
      <c r="D42" s="207"/>
      <c r="E42" s="207"/>
      <c r="F42" s="207"/>
      <c r="G42" s="208"/>
      <c r="H42" s="209"/>
    </row>
    <row r="43" spans="2:8" ht="15" thickBot="1" x14ac:dyDescent="0.25">
      <c r="B43" s="174" t="s">
        <v>111</v>
      </c>
      <c r="C43" s="175"/>
      <c r="D43" s="175"/>
      <c r="E43" s="175"/>
      <c r="F43" s="175"/>
      <c r="G43" s="176"/>
      <c r="H43" s="177"/>
    </row>
    <row r="44" spans="2:8" ht="15" thickBot="1" x14ac:dyDescent="0.25">
      <c r="B44" s="12"/>
      <c r="C44" s="2"/>
      <c r="D44" s="2"/>
      <c r="E44" s="2"/>
      <c r="F44" s="13"/>
      <c r="G44" s="13"/>
      <c r="H44" s="13"/>
    </row>
    <row r="45" spans="2:8" ht="15" thickBot="1" x14ac:dyDescent="0.25">
      <c r="B45" s="210" t="s">
        <v>66</v>
      </c>
      <c r="C45" s="211"/>
      <c r="D45" s="211"/>
      <c r="E45" s="211"/>
      <c r="F45" s="47" t="s">
        <v>42</v>
      </c>
      <c r="G45" s="48" t="s">
        <v>43</v>
      </c>
      <c r="H45" s="13"/>
    </row>
    <row r="46" spans="2:8" ht="15" thickTop="1" x14ac:dyDescent="0.2">
      <c r="B46" s="49" t="s">
        <v>67</v>
      </c>
      <c r="C46" s="212" t="s">
        <v>68</v>
      </c>
      <c r="D46" s="213"/>
      <c r="E46" s="214" t="s">
        <v>69</v>
      </c>
      <c r="F46" s="214"/>
      <c r="G46" s="215"/>
      <c r="H46" s="13"/>
    </row>
    <row r="47" spans="2:8" x14ac:dyDescent="0.2">
      <c r="B47" s="34"/>
      <c r="C47" s="216" t="s">
        <v>70</v>
      </c>
      <c r="D47" s="216"/>
      <c r="E47" s="113" t="s">
        <v>134</v>
      </c>
      <c r="F47" s="217">
        <v>20</v>
      </c>
      <c r="G47" s="220">
        <v>20</v>
      </c>
      <c r="H47" s="13"/>
    </row>
    <row r="48" spans="2:8" x14ac:dyDescent="0.2">
      <c r="B48" s="34"/>
      <c r="C48" s="216" t="s">
        <v>71</v>
      </c>
      <c r="D48" s="216"/>
      <c r="E48" s="113" t="s">
        <v>135</v>
      </c>
      <c r="F48" s="218"/>
      <c r="G48" s="221"/>
      <c r="H48" s="13"/>
    </row>
    <row r="49" spans="2:8" ht="64.5" thickBot="1" x14ac:dyDescent="0.25">
      <c r="B49" s="50"/>
      <c r="C49" s="223" t="s">
        <v>72</v>
      </c>
      <c r="D49" s="224"/>
      <c r="E49" s="103" t="s">
        <v>73</v>
      </c>
      <c r="F49" s="219"/>
      <c r="G49" s="222"/>
      <c r="H49" s="13"/>
    </row>
    <row r="50" spans="2:8" ht="15" thickTop="1" x14ac:dyDescent="0.2">
      <c r="B50" s="49" t="s">
        <v>74</v>
      </c>
      <c r="C50" s="228" t="s">
        <v>75</v>
      </c>
      <c r="D50" s="229"/>
      <c r="E50" s="229"/>
      <c r="F50" s="229"/>
      <c r="G50" s="230"/>
      <c r="H50" s="13"/>
    </row>
    <row r="51" spans="2:8" x14ac:dyDescent="0.2">
      <c r="B51" s="34"/>
      <c r="C51" s="216" t="s">
        <v>76</v>
      </c>
      <c r="D51" s="216"/>
      <c r="E51" s="113"/>
      <c r="F51" s="104">
        <v>2</v>
      </c>
      <c r="G51" s="105">
        <v>4</v>
      </c>
      <c r="H51" s="13"/>
    </row>
    <row r="52" spans="2:8" ht="15" thickBot="1" x14ac:dyDescent="0.25">
      <c r="B52" s="50"/>
      <c r="C52" s="231" t="s">
        <v>77</v>
      </c>
      <c r="D52" s="231"/>
      <c r="E52" s="114" t="s">
        <v>136</v>
      </c>
      <c r="F52" s="107">
        <v>6</v>
      </c>
      <c r="G52" s="108">
        <v>6</v>
      </c>
      <c r="H52" s="13"/>
    </row>
    <row r="53" spans="2:8" ht="15" thickTop="1" x14ac:dyDescent="0.2">
      <c r="B53" s="49" t="s">
        <v>78</v>
      </c>
      <c r="C53" s="232" t="s">
        <v>79</v>
      </c>
      <c r="D53" s="233"/>
      <c r="E53" s="234" t="s">
        <v>69</v>
      </c>
      <c r="F53" s="234"/>
      <c r="G53" s="235"/>
      <c r="H53" s="13"/>
    </row>
    <row r="54" spans="2:8" x14ac:dyDescent="0.2">
      <c r="B54" s="34"/>
      <c r="C54" s="216" t="s">
        <v>80</v>
      </c>
      <c r="D54" s="216"/>
      <c r="E54" s="113" t="s">
        <v>132</v>
      </c>
      <c r="F54" s="217">
        <v>6</v>
      </c>
      <c r="G54" s="220">
        <v>6</v>
      </c>
      <c r="H54" s="13"/>
    </row>
    <row r="55" spans="2:8" ht="25.5" x14ac:dyDescent="0.2">
      <c r="B55" s="34"/>
      <c r="C55" s="216" t="s">
        <v>81</v>
      </c>
      <c r="D55" s="216"/>
      <c r="E55" s="113" t="s">
        <v>137</v>
      </c>
      <c r="F55" s="218"/>
      <c r="G55" s="221"/>
      <c r="H55" s="13"/>
    </row>
    <row r="56" spans="2:8" ht="64.5" thickBot="1" x14ac:dyDescent="0.25">
      <c r="B56" s="50"/>
      <c r="C56" s="223" t="s">
        <v>82</v>
      </c>
      <c r="D56" s="236"/>
      <c r="E56" s="103" t="s">
        <v>73</v>
      </c>
      <c r="F56" s="219"/>
      <c r="G56" s="222"/>
      <c r="H56" s="13"/>
    </row>
    <row r="57" spans="2:8" ht="15" thickTop="1" x14ac:dyDescent="0.2">
      <c r="B57" s="49" t="s">
        <v>83</v>
      </c>
      <c r="C57" s="228" t="s">
        <v>84</v>
      </c>
      <c r="D57" s="229"/>
      <c r="E57" s="229"/>
      <c r="F57" s="229"/>
      <c r="G57" s="230"/>
      <c r="H57" s="13"/>
    </row>
    <row r="58" spans="2:8" ht="15" thickBot="1" x14ac:dyDescent="0.25">
      <c r="B58" s="50"/>
      <c r="C58" s="223" t="s">
        <v>85</v>
      </c>
      <c r="D58" s="224"/>
      <c r="E58" s="236"/>
      <c r="F58" s="109">
        <v>2</v>
      </c>
      <c r="G58" s="108">
        <v>4</v>
      </c>
      <c r="H58" s="13"/>
    </row>
    <row r="59" spans="2:8" ht="15" thickTop="1" x14ac:dyDescent="0.2">
      <c r="B59" s="49" t="s">
        <v>86</v>
      </c>
      <c r="C59" s="232" t="s">
        <v>87</v>
      </c>
      <c r="D59" s="233"/>
      <c r="E59" s="234" t="s">
        <v>69</v>
      </c>
      <c r="F59" s="234"/>
      <c r="G59" s="235"/>
      <c r="H59" s="13"/>
    </row>
    <row r="60" spans="2:8" x14ac:dyDescent="0.2">
      <c r="B60" s="34"/>
      <c r="C60" s="225" t="s">
        <v>88</v>
      </c>
      <c r="D60" s="226"/>
      <c r="E60" s="227"/>
      <c r="F60" s="110">
        <v>30</v>
      </c>
      <c r="G60" s="105">
        <v>40</v>
      </c>
      <c r="H60" s="13"/>
    </row>
    <row r="61" spans="2:8" x14ac:dyDescent="0.2">
      <c r="B61" s="34"/>
      <c r="C61" s="225" t="s">
        <v>89</v>
      </c>
      <c r="D61" s="226"/>
      <c r="E61" s="227"/>
      <c r="F61" s="111">
        <v>7</v>
      </c>
      <c r="G61" s="105">
        <v>10</v>
      </c>
      <c r="H61" s="13"/>
    </row>
    <row r="62" spans="2:8" x14ac:dyDescent="0.2">
      <c r="B62" s="34"/>
      <c r="C62" s="237" t="s">
        <v>90</v>
      </c>
      <c r="D62" s="238"/>
      <c r="E62" s="239"/>
      <c r="F62" s="119">
        <v>4</v>
      </c>
      <c r="G62" s="52">
        <v>7</v>
      </c>
      <c r="H62" s="13"/>
    </row>
    <row r="63" spans="2:8" ht="15" thickBot="1" x14ac:dyDescent="0.25">
      <c r="B63" s="50"/>
      <c r="C63" s="240" t="s">
        <v>91</v>
      </c>
      <c r="D63" s="241"/>
      <c r="E63" s="242"/>
      <c r="F63" s="51">
        <v>2</v>
      </c>
      <c r="G63" s="53">
        <v>3</v>
      </c>
      <c r="H63" s="13"/>
    </row>
    <row r="64" spans="2:8" ht="15.75" thickTop="1" thickBot="1" x14ac:dyDescent="0.25">
      <c r="B64" s="243" t="s">
        <v>62</v>
      </c>
      <c r="C64" s="244"/>
      <c r="D64" s="244"/>
      <c r="E64" s="245"/>
      <c r="F64" s="54">
        <v>79</v>
      </c>
      <c r="G64" s="55">
        <f>SUM(G47:G63)</f>
        <v>100</v>
      </c>
      <c r="H64" s="13"/>
    </row>
    <row r="65" spans="2:8" ht="15" thickBot="1" x14ac:dyDescent="0.25">
      <c r="B65" s="36"/>
      <c r="C65" s="2"/>
      <c r="D65" s="2"/>
      <c r="E65" s="2"/>
      <c r="F65" s="13"/>
      <c r="G65" s="56"/>
      <c r="H65" s="13"/>
    </row>
    <row r="66" spans="2:8" x14ac:dyDescent="0.2">
      <c r="B66" s="246" t="s">
        <v>92</v>
      </c>
      <c r="C66" s="247"/>
      <c r="D66" s="247"/>
      <c r="E66" s="247"/>
      <c r="F66" s="247"/>
      <c r="G66" s="248"/>
      <c r="H66" s="13"/>
    </row>
    <row r="67" spans="2:8" x14ac:dyDescent="0.2">
      <c r="B67" s="249" t="s">
        <v>93</v>
      </c>
      <c r="C67" s="159"/>
      <c r="D67" s="159"/>
      <c r="E67" s="159"/>
      <c r="F67" s="159"/>
      <c r="G67" s="250"/>
      <c r="H67" s="13"/>
    </row>
    <row r="68" spans="2:8" x14ac:dyDescent="0.2">
      <c r="B68" s="34">
        <v>1</v>
      </c>
      <c r="C68" s="171" t="s">
        <v>94</v>
      </c>
      <c r="D68" s="172"/>
      <c r="E68" s="173"/>
      <c r="F68" s="119" t="s">
        <v>138</v>
      </c>
      <c r="G68" s="120"/>
      <c r="H68" s="13"/>
    </row>
    <row r="69" spans="2:8" x14ac:dyDescent="0.2">
      <c r="B69" s="34">
        <v>2</v>
      </c>
      <c r="C69" s="171" t="s">
        <v>95</v>
      </c>
      <c r="D69" s="172"/>
      <c r="E69" s="173"/>
      <c r="F69" s="119" t="s">
        <v>138</v>
      </c>
      <c r="G69" s="120"/>
      <c r="H69" s="13"/>
    </row>
    <row r="70" spans="2:8" x14ac:dyDescent="0.2">
      <c r="B70" s="57">
        <v>3</v>
      </c>
      <c r="C70" s="171" t="s">
        <v>96</v>
      </c>
      <c r="D70" s="172"/>
      <c r="E70" s="173"/>
      <c r="F70" s="119" t="s">
        <v>138</v>
      </c>
      <c r="G70" s="120"/>
      <c r="H70" s="13"/>
    </row>
    <row r="71" spans="2:8" ht="15" thickBot="1" x14ac:dyDescent="0.25">
      <c r="B71" s="251" t="s">
        <v>65</v>
      </c>
      <c r="C71" s="252"/>
      <c r="D71" s="252"/>
      <c r="E71" s="252"/>
      <c r="F71" s="252"/>
      <c r="G71" s="253"/>
      <c r="H71" s="13"/>
    </row>
    <row r="72" spans="2:8" ht="15" thickBot="1" x14ac:dyDescent="0.25">
      <c r="B72" s="58"/>
      <c r="C72" s="59"/>
      <c r="D72" s="59"/>
      <c r="E72" s="59"/>
      <c r="F72" s="59"/>
      <c r="G72" s="60"/>
      <c r="H72" s="13"/>
    </row>
    <row r="73" spans="2:8" x14ac:dyDescent="0.2">
      <c r="B73" s="254" t="s">
        <v>97</v>
      </c>
      <c r="C73" s="255"/>
      <c r="D73" s="255"/>
      <c r="E73" s="255"/>
      <c r="F73" s="255"/>
      <c r="G73" s="256"/>
      <c r="H73" s="13"/>
    </row>
    <row r="74" spans="2:8" x14ac:dyDescent="0.2">
      <c r="B74" s="257" t="s">
        <v>98</v>
      </c>
      <c r="C74" s="164"/>
      <c r="D74" s="164"/>
      <c r="E74" s="164"/>
      <c r="F74" s="119"/>
      <c r="G74" s="120"/>
      <c r="H74" s="13"/>
    </row>
    <row r="75" spans="2:8" ht="15" thickBot="1" x14ac:dyDescent="0.25">
      <c r="B75" s="202" t="s">
        <v>99</v>
      </c>
      <c r="C75" s="203"/>
      <c r="D75" s="203"/>
      <c r="E75" s="203"/>
      <c r="F75" s="203"/>
      <c r="G75" s="205"/>
      <c r="H75" s="13"/>
    </row>
  </sheetData>
  <mergeCells count="85">
    <mergeCell ref="B74:E74"/>
    <mergeCell ref="B75:G75"/>
    <mergeCell ref="C60:E60"/>
    <mergeCell ref="C61:E61"/>
    <mergeCell ref="C62:E62"/>
    <mergeCell ref="C63:E63"/>
    <mergeCell ref="B64:E64"/>
    <mergeCell ref="B66:G66"/>
    <mergeCell ref="C51:D51"/>
    <mergeCell ref="C52:D52"/>
    <mergeCell ref="C53:D53"/>
    <mergeCell ref="E53:G53"/>
    <mergeCell ref="C54:D54"/>
    <mergeCell ref="G54:G56"/>
    <mergeCell ref="C55:D55"/>
    <mergeCell ref="C56:D56"/>
    <mergeCell ref="E46:G46"/>
    <mergeCell ref="C47:D47"/>
    <mergeCell ref="G47:G49"/>
    <mergeCell ref="C48:D48"/>
    <mergeCell ref="C49:D49"/>
    <mergeCell ref="C50:G50"/>
    <mergeCell ref="C33:E33"/>
    <mergeCell ref="B34:E34"/>
    <mergeCell ref="B36:E36"/>
    <mergeCell ref="F36:H36"/>
    <mergeCell ref="B37:E37"/>
    <mergeCell ref="F37:H37"/>
    <mergeCell ref="C22:E22"/>
    <mergeCell ref="C23:E23"/>
    <mergeCell ref="D24:H24"/>
    <mergeCell ref="C25:E25"/>
    <mergeCell ref="C26:E26"/>
    <mergeCell ref="C27:E27"/>
    <mergeCell ref="B11:C11"/>
    <mergeCell ref="D11:H11"/>
    <mergeCell ref="B12:E12"/>
    <mergeCell ref="D13:H13"/>
    <mergeCell ref="C14:E14"/>
    <mergeCell ref="C15:E15"/>
    <mergeCell ref="B6:C6"/>
    <mergeCell ref="F6:H6"/>
    <mergeCell ref="B7:C7"/>
    <mergeCell ref="F7:H7"/>
    <mergeCell ref="B8:C8"/>
    <mergeCell ref="F8:H8"/>
    <mergeCell ref="B1:E1"/>
    <mergeCell ref="F1:H1"/>
    <mergeCell ref="B2:H2"/>
    <mergeCell ref="B3:H3"/>
    <mergeCell ref="E4:H4"/>
    <mergeCell ref="B5:H5"/>
    <mergeCell ref="C69:E69"/>
    <mergeCell ref="C70:E70"/>
    <mergeCell ref="B71:G71"/>
    <mergeCell ref="B73:G73"/>
    <mergeCell ref="B67:G67"/>
    <mergeCell ref="C68:E68"/>
    <mergeCell ref="C57:G57"/>
    <mergeCell ref="C58:E58"/>
    <mergeCell ref="C59:D59"/>
    <mergeCell ref="E59:G59"/>
    <mergeCell ref="F54:F56"/>
    <mergeCell ref="F47:F49"/>
    <mergeCell ref="B45:E45"/>
    <mergeCell ref="C46:D46"/>
    <mergeCell ref="B39:H39"/>
    <mergeCell ref="B40:H40"/>
    <mergeCell ref="B42:H42"/>
    <mergeCell ref="B43:H43"/>
    <mergeCell ref="C30:E30"/>
    <mergeCell ref="D31:H31"/>
    <mergeCell ref="C32:E32"/>
    <mergeCell ref="C28:E28"/>
    <mergeCell ref="C29:E29"/>
    <mergeCell ref="C18:E18"/>
    <mergeCell ref="C19:E19"/>
    <mergeCell ref="C20:E20"/>
    <mergeCell ref="C21:E21"/>
    <mergeCell ref="C16:E16"/>
    <mergeCell ref="C17:E17"/>
    <mergeCell ref="B9:C9"/>
    <mergeCell ref="F9:H9"/>
    <mergeCell ref="B10:C10"/>
    <mergeCell ref="F10:H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75"/>
  <sheetViews>
    <sheetView zoomScale="85" zoomScaleNormal="85" workbookViewId="0">
      <selection activeCell="I4" sqref="I4"/>
    </sheetView>
  </sheetViews>
  <sheetFormatPr defaultColWidth="9.125" defaultRowHeight="12.75" x14ac:dyDescent="0.2"/>
  <cols>
    <col min="1" max="1" width="2.125" style="2" customWidth="1"/>
    <col min="2" max="2" width="10.75" style="12" bestFit="1" customWidth="1"/>
    <col min="3" max="3" width="25.75" style="2" customWidth="1"/>
    <col min="4" max="4" width="20.125" style="2" customWidth="1"/>
    <col min="5" max="5" width="24.875" style="2" customWidth="1"/>
    <col min="6" max="6" width="9.75" style="2" customWidth="1"/>
    <col min="7" max="7" width="10.25" style="13" customWidth="1"/>
    <col min="8" max="8" width="9.75" style="13" customWidth="1"/>
    <col min="9" max="10" width="14.875" style="2" customWidth="1"/>
    <col min="11" max="11" width="0" style="2" hidden="1" customWidth="1"/>
    <col min="12" max="16384" width="9.125" style="2"/>
  </cols>
  <sheetData>
    <row r="1" spans="2:11" ht="17.45" customHeight="1" x14ac:dyDescent="0.2">
      <c r="B1" s="130" t="s">
        <v>112</v>
      </c>
      <c r="C1" s="131"/>
      <c r="D1" s="131"/>
      <c r="E1" s="131"/>
      <c r="F1" s="82"/>
      <c r="G1" s="132" t="s">
        <v>113</v>
      </c>
      <c r="H1" s="133"/>
    </row>
    <row r="2" spans="2:11" ht="15" thickBot="1" x14ac:dyDescent="0.25">
      <c r="B2" s="134" t="s">
        <v>114</v>
      </c>
      <c r="C2" s="135"/>
      <c r="D2" s="135"/>
      <c r="E2" s="135"/>
      <c r="F2" s="135"/>
      <c r="G2" s="135"/>
      <c r="H2" s="136"/>
    </row>
    <row r="3" spans="2:11" ht="16.5" customHeight="1" x14ac:dyDescent="0.2">
      <c r="B3" s="137" t="s">
        <v>25</v>
      </c>
      <c r="C3" s="138"/>
      <c r="D3" s="138"/>
      <c r="E3" s="138"/>
      <c r="F3" s="138"/>
      <c r="G3" s="138"/>
      <c r="H3" s="140"/>
    </row>
    <row r="4" spans="2:11" s="13" customFormat="1" ht="26.1" customHeight="1" x14ac:dyDescent="0.2">
      <c r="B4" s="14" t="s">
        <v>26</v>
      </c>
      <c r="C4" s="83">
        <v>45839</v>
      </c>
      <c r="D4" s="61" t="s">
        <v>27</v>
      </c>
      <c r="E4" s="258">
        <v>46203</v>
      </c>
      <c r="F4" s="259"/>
      <c r="G4" s="259"/>
      <c r="H4" s="260"/>
      <c r="I4" s="16"/>
      <c r="J4" s="16"/>
    </row>
    <row r="5" spans="2:11" ht="14.1" customHeight="1" x14ac:dyDescent="0.2">
      <c r="B5" s="126" t="s">
        <v>28</v>
      </c>
      <c r="C5" s="127"/>
      <c r="D5" s="127"/>
      <c r="E5" s="127"/>
      <c r="F5" s="127"/>
      <c r="G5" s="127"/>
      <c r="H5" s="129"/>
      <c r="I5" s="17"/>
      <c r="J5" s="17"/>
    </row>
    <row r="6" spans="2:11" ht="30.6" customHeight="1" x14ac:dyDescent="0.2">
      <c r="B6" s="144" t="s">
        <v>29</v>
      </c>
      <c r="C6" s="145"/>
      <c r="D6" s="7"/>
      <c r="E6" s="7" t="s">
        <v>30</v>
      </c>
      <c r="F6" s="146" t="s">
        <v>31</v>
      </c>
      <c r="G6" s="146"/>
      <c r="H6" s="148"/>
      <c r="I6" s="18"/>
      <c r="J6" s="18"/>
    </row>
    <row r="7" spans="2:11" ht="24" customHeight="1" x14ac:dyDescent="0.2">
      <c r="B7" s="149" t="s">
        <v>32</v>
      </c>
      <c r="C7" s="150"/>
      <c r="D7" s="7"/>
      <c r="E7" s="7" t="s">
        <v>33</v>
      </c>
      <c r="F7" s="146"/>
      <c r="G7" s="146"/>
      <c r="H7" s="148"/>
      <c r="I7" s="18"/>
      <c r="J7" s="18"/>
    </row>
    <row r="8" spans="2:11" ht="28.5" customHeight="1" x14ac:dyDescent="0.2">
      <c r="B8" s="149" t="s">
        <v>34</v>
      </c>
      <c r="C8" s="150"/>
      <c r="D8" s="7"/>
      <c r="E8" s="7" t="s">
        <v>35</v>
      </c>
      <c r="F8" s="146"/>
      <c r="G8" s="146"/>
      <c r="H8" s="148"/>
      <c r="I8" s="18"/>
      <c r="J8" s="18"/>
    </row>
    <row r="9" spans="2:11" ht="27.6" customHeight="1" x14ac:dyDescent="0.2">
      <c r="B9" s="149" t="s">
        <v>36</v>
      </c>
      <c r="C9" s="150"/>
      <c r="D9" s="7"/>
      <c r="E9" s="7" t="s">
        <v>37</v>
      </c>
      <c r="F9" s="261"/>
      <c r="G9" s="261"/>
      <c r="H9" s="262"/>
      <c r="I9" s="18"/>
      <c r="J9" s="18"/>
    </row>
    <row r="10" spans="2:11" ht="24" customHeight="1" x14ac:dyDescent="0.2">
      <c r="B10" s="149" t="s">
        <v>38</v>
      </c>
      <c r="C10" s="150"/>
      <c r="D10" s="84"/>
      <c r="E10" s="7" t="s">
        <v>103</v>
      </c>
      <c r="F10" s="146" t="s">
        <v>31</v>
      </c>
      <c r="G10" s="146"/>
      <c r="H10" s="148"/>
      <c r="I10" s="18"/>
      <c r="J10" s="17"/>
    </row>
    <row r="11" spans="2:11" ht="23.45" customHeight="1" thickBot="1" x14ac:dyDescent="0.25">
      <c r="B11" s="263" t="s">
        <v>39</v>
      </c>
      <c r="C11" s="264"/>
      <c r="D11" s="265"/>
      <c r="E11" s="266"/>
      <c r="F11" s="266"/>
      <c r="G11" s="266"/>
      <c r="H11" s="267"/>
      <c r="I11" s="18"/>
      <c r="J11" s="18"/>
    </row>
    <row r="12" spans="2:11" ht="17.100000000000001" customHeight="1" x14ac:dyDescent="0.2">
      <c r="B12" s="268" t="s">
        <v>40</v>
      </c>
      <c r="C12" s="269"/>
      <c r="D12" s="269"/>
      <c r="E12" s="269"/>
      <c r="F12" s="85" t="s">
        <v>41</v>
      </c>
      <c r="G12" s="86" t="s">
        <v>42</v>
      </c>
      <c r="H12" s="87" t="s">
        <v>43</v>
      </c>
      <c r="I12" s="18"/>
      <c r="J12" s="18"/>
    </row>
    <row r="13" spans="2:11" ht="15" customHeight="1" x14ac:dyDescent="0.2">
      <c r="B13" s="23" t="s">
        <v>44</v>
      </c>
      <c r="C13" s="24" t="s">
        <v>45</v>
      </c>
      <c r="D13" s="156" t="s">
        <v>46</v>
      </c>
      <c r="E13" s="156"/>
      <c r="F13" s="156"/>
      <c r="G13" s="156"/>
      <c r="H13" s="157"/>
      <c r="I13" s="25"/>
    </row>
    <row r="14" spans="2:11" ht="15.75" customHeight="1" thickBot="1" x14ac:dyDescent="0.25">
      <c r="B14" s="64" t="s">
        <v>6</v>
      </c>
      <c r="C14" s="270" t="s">
        <v>47</v>
      </c>
      <c r="D14" s="271"/>
      <c r="E14" s="272"/>
      <c r="F14" s="88">
        <f>SUM(F15:F22)</f>
        <v>1</v>
      </c>
      <c r="G14" s="89">
        <v>50</v>
      </c>
      <c r="H14" s="90">
        <v>50</v>
      </c>
      <c r="I14" s="12"/>
      <c r="J14" s="12"/>
    </row>
    <row r="15" spans="2:11" ht="15.75" customHeight="1" x14ac:dyDescent="0.2">
      <c r="B15" s="79">
        <v>1</v>
      </c>
      <c r="C15" s="273" t="s">
        <v>120</v>
      </c>
      <c r="D15" s="273"/>
      <c r="E15" s="273"/>
      <c r="F15" s="91">
        <v>0.2</v>
      </c>
      <c r="G15" s="92"/>
      <c r="H15" s="93">
        <f t="shared" ref="H15:H22" si="0">$G$14*F15</f>
        <v>10</v>
      </c>
      <c r="I15" s="12"/>
      <c r="J15" s="12"/>
    </row>
    <row r="16" spans="2:11" ht="15.75" customHeight="1" x14ac:dyDescent="0.2">
      <c r="B16" s="34">
        <v>2</v>
      </c>
      <c r="C16" s="164" t="s">
        <v>123</v>
      </c>
      <c r="D16" s="164"/>
      <c r="E16" s="164"/>
      <c r="F16" s="28">
        <v>0.15</v>
      </c>
      <c r="G16" s="32"/>
      <c r="H16" s="63">
        <f t="shared" si="0"/>
        <v>7.5</v>
      </c>
      <c r="I16" s="12"/>
      <c r="J16" s="12"/>
      <c r="K16" s="2" t="s">
        <v>124</v>
      </c>
    </row>
    <row r="17" spans="2:11" ht="15.75" customHeight="1" x14ac:dyDescent="0.2">
      <c r="B17" s="34">
        <v>3</v>
      </c>
      <c r="C17" s="164" t="s">
        <v>121</v>
      </c>
      <c r="D17" s="164"/>
      <c r="E17" s="164"/>
      <c r="F17" s="28">
        <v>0.12</v>
      </c>
      <c r="G17" s="32"/>
      <c r="H17" s="63">
        <f t="shared" si="0"/>
        <v>6</v>
      </c>
      <c r="I17" s="12"/>
      <c r="J17" s="12"/>
    </row>
    <row r="18" spans="2:11" ht="15" customHeight="1" x14ac:dyDescent="0.2">
      <c r="B18" s="34">
        <v>4</v>
      </c>
      <c r="C18" s="164" t="s">
        <v>125</v>
      </c>
      <c r="D18" s="164"/>
      <c r="E18" s="164"/>
      <c r="F18" s="28">
        <v>7.0000000000000007E-2</v>
      </c>
      <c r="G18" s="32"/>
      <c r="H18" s="63">
        <f t="shared" si="0"/>
        <v>3.5000000000000004</v>
      </c>
      <c r="I18" s="12"/>
      <c r="J18" s="12"/>
      <c r="K18" s="2" t="s">
        <v>124</v>
      </c>
    </row>
    <row r="19" spans="2:11" x14ac:dyDescent="0.2">
      <c r="B19" s="34">
        <v>5</v>
      </c>
      <c r="C19" s="150" t="s">
        <v>122</v>
      </c>
      <c r="D19" s="164"/>
      <c r="E19" s="164"/>
      <c r="F19" s="29">
        <v>0.06</v>
      </c>
      <c r="G19" s="94"/>
      <c r="H19" s="63">
        <f t="shared" si="0"/>
        <v>3</v>
      </c>
      <c r="I19" s="30"/>
      <c r="J19" s="30"/>
    </row>
    <row r="20" spans="2:11" x14ac:dyDescent="0.2">
      <c r="B20" s="34">
        <v>6</v>
      </c>
      <c r="C20" s="164" t="s">
        <v>48</v>
      </c>
      <c r="D20" s="164"/>
      <c r="E20" s="164"/>
      <c r="F20" s="28">
        <v>0.08</v>
      </c>
      <c r="G20" s="32"/>
      <c r="H20" s="63">
        <f t="shared" si="0"/>
        <v>4</v>
      </c>
    </row>
    <row r="21" spans="2:11" x14ac:dyDescent="0.2">
      <c r="B21" s="34">
        <v>7</v>
      </c>
      <c r="C21" s="164" t="s">
        <v>49</v>
      </c>
      <c r="D21" s="164"/>
      <c r="E21" s="164"/>
      <c r="F21" s="28">
        <v>0.16</v>
      </c>
      <c r="G21" s="32"/>
      <c r="H21" s="63">
        <f t="shared" si="0"/>
        <v>8</v>
      </c>
    </row>
    <row r="22" spans="2:11" ht="15" customHeight="1" thickBot="1" x14ac:dyDescent="0.25">
      <c r="B22" s="95">
        <v>8</v>
      </c>
      <c r="C22" s="165" t="s">
        <v>118</v>
      </c>
      <c r="D22" s="165"/>
      <c r="E22" s="165"/>
      <c r="F22" s="65">
        <v>0.16</v>
      </c>
      <c r="G22" s="74"/>
      <c r="H22" s="66">
        <f t="shared" si="0"/>
        <v>8</v>
      </c>
    </row>
    <row r="23" spans="2:11" ht="15" customHeight="1" thickBot="1" x14ac:dyDescent="0.25">
      <c r="B23" s="77"/>
      <c r="C23" s="166"/>
      <c r="D23" s="167"/>
      <c r="E23" s="168"/>
      <c r="F23" s="96"/>
      <c r="G23" s="69">
        <f>SUM(G15:G22)</f>
        <v>0</v>
      </c>
      <c r="H23" s="70">
        <f>SUM(H15:H22)</f>
        <v>50</v>
      </c>
    </row>
    <row r="24" spans="2:11" ht="15" customHeight="1" x14ac:dyDescent="0.2">
      <c r="B24" s="71" t="s">
        <v>10</v>
      </c>
      <c r="C24" s="72" t="s">
        <v>51</v>
      </c>
      <c r="D24" s="169" t="s">
        <v>52</v>
      </c>
      <c r="E24" s="169"/>
      <c r="F24" s="169"/>
      <c r="G24" s="169"/>
      <c r="H24" s="170"/>
      <c r="I24" s="12"/>
      <c r="J24" s="12"/>
    </row>
    <row r="25" spans="2:11" x14ac:dyDescent="0.2">
      <c r="B25" s="34">
        <v>1</v>
      </c>
      <c r="C25" s="171" t="s">
        <v>53</v>
      </c>
      <c r="D25" s="172"/>
      <c r="E25" s="173"/>
      <c r="F25" s="31"/>
      <c r="G25" s="32"/>
      <c r="H25" s="33">
        <v>5</v>
      </c>
    </row>
    <row r="26" spans="2:11" x14ac:dyDescent="0.2">
      <c r="B26" s="34">
        <v>2</v>
      </c>
      <c r="C26" s="171" t="s">
        <v>54</v>
      </c>
      <c r="D26" s="172"/>
      <c r="E26" s="173"/>
      <c r="F26" s="31"/>
      <c r="G26" s="32"/>
      <c r="H26" s="33">
        <v>5</v>
      </c>
    </row>
    <row r="27" spans="2:11" x14ac:dyDescent="0.2">
      <c r="B27" s="34">
        <v>3</v>
      </c>
      <c r="C27" s="171" t="s">
        <v>55</v>
      </c>
      <c r="D27" s="172"/>
      <c r="E27" s="173"/>
      <c r="F27" s="31"/>
      <c r="G27" s="32"/>
      <c r="H27" s="33">
        <v>5</v>
      </c>
    </row>
    <row r="28" spans="2:11" x14ac:dyDescent="0.2">
      <c r="B28" s="34">
        <v>4</v>
      </c>
      <c r="C28" s="171" t="s">
        <v>56</v>
      </c>
      <c r="D28" s="172"/>
      <c r="E28" s="173"/>
      <c r="F28" s="31"/>
      <c r="G28" s="32"/>
      <c r="H28" s="33">
        <v>5</v>
      </c>
    </row>
    <row r="29" spans="2:11" ht="13.5" thickBot="1" x14ac:dyDescent="0.25">
      <c r="B29" s="95">
        <v>5</v>
      </c>
      <c r="C29" s="161" t="s">
        <v>57</v>
      </c>
      <c r="D29" s="162"/>
      <c r="E29" s="163"/>
      <c r="F29" s="97"/>
      <c r="G29" s="74"/>
      <c r="H29" s="76">
        <v>5</v>
      </c>
    </row>
    <row r="30" spans="2:11" ht="13.5" thickBot="1" x14ac:dyDescent="0.25">
      <c r="B30" s="77"/>
      <c r="C30" s="166"/>
      <c r="D30" s="167"/>
      <c r="E30" s="168"/>
      <c r="F30" s="98"/>
      <c r="G30" s="69">
        <f>SUM(G25:G29)</f>
        <v>0</v>
      </c>
      <c r="H30" s="70">
        <f>SUM(H25:H29)</f>
        <v>25</v>
      </c>
    </row>
    <row r="31" spans="2:11" x14ac:dyDescent="0.2">
      <c r="B31" s="79" t="s">
        <v>58</v>
      </c>
      <c r="C31" s="72" t="s">
        <v>59</v>
      </c>
      <c r="D31" s="169" t="s">
        <v>60</v>
      </c>
      <c r="E31" s="169"/>
      <c r="F31" s="169"/>
      <c r="G31" s="169"/>
      <c r="H31" s="170"/>
    </row>
    <row r="32" spans="2:11" ht="26.45" customHeight="1" x14ac:dyDescent="0.2">
      <c r="B32" s="26" t="s">
        <v>6</v>
      </c>
      <c r="C32" s="178" t="s">
        <v>108</v>
      </c>
      <c r="D32" s="179"/>
      <c r="E32" s="180"/>
      <c r="F32" s="35"/>
      <c r="G32" s="32"/>
      <c r="H32" s="33">
        <v>20</v>
      </c>
    </row>
    <row r="33" spans="2:10" ht="47.25" customHeight="1" thickBot="1" x14ac:dyDescent="0.25">
      <c r="B33" s="64" t="s">
        <v>10</v>
      </c>
      <c r="C33" s="181" t="s">
        <v>61</v>
      </c>
      <c r="D33" s="182"/>
      <c r="E33" s="183"/>
      <c r="F33" s="99"/>
      <c r="G33" s="74"/>
      <c r="H33" s="76">
        <v>5</v>
      </c>
    </row>
    <row r="34" spans="2:10" s="30" customFormat="1" ht="13.5" thickBot="1" x14ac:dyDescent="0.25">
      <c r="B34" s="184" t="s">
        <v>62</v>
      </c>
      <c r="C34" s="185"/>
      <c r="D34" s="185"/>
      <c r="E34" s="186"/>
      <c r="F34" s="100"/>
      <c r="G34" s="54">
        <f>SUM(G15:G22)+SUM(G25:G29)+SUM(G32:G33)</f>
        <v>0</v>
      </c>
      <c r="H34" s="81">
        <f>SUM(H23,H30,H32,H33)</f>
        <v>100</v>
      </c>
    </row>
    <row r="35" spans="2:10" ht="13.5" thickBot="1" x14ac:dyDescent="0.25">
      <c r="B35" s="36"/>
      <c r="H35" s="37"/>
    </row>
    <row r="36" spans="2:10" s="30" customFormat="1" ht="41.25" customHeight="1" x14ac:dyDescent="0.2">
      <c r="B36" s="187" t="s">
        <v>63</v>
      </c>
      <c r="C36" s="188"/>
      <c r="D36" s="188"/>
      <c r="E36" s="189"/>
      <c r="F36" s="38"/>
      <c r="G36" s="190" t="str">
        <f>IF(G34&gt;79, "OS", IF(G34&gt;69,"EE", IF(G34&gt;59, "ME", IF(G34&gt;49,"BE","SD"))))</f>
        <v>SD</v>
      </c>
      <c r="H36" s="192"/>
    </row>
    <row r="37" spans="2:10" s="30" customFormat="1" ht="41.25" customHeight="1" thickBot="1" x14ac:dyDescent="0.25">
      <c r="B37" s="193" t="s">
        <v>64</v>
      </c>
      <c r="C37" s="194"/>
      <c r="D37" s="194"/>
      <c r="E37" s="194"/>
      <c r="F37" s="101"/>
      <c r="G37" s="195"/>
      <c r="H37" s="197"/>
    </row>
    <row r="38" spans="2:10" s="30" customFormat="1" ht="9.75" customHeight="1" thickBot="1" x14ac:dyDescent="0.25">
      <c r="B38" s="39"/>
      <c r="C38" s="40"/>
      <c r="D38" s="40"/>
      <c r="E38" s="40"/>
      <c r="F38" s="40"/>
      <c r="G38" s="41"/>
      <c r="H38" s="42"/>
    </row>
    <row r="39" spans="2:10" ht="90.75" customHeight="1" x14ac:dyDescent="0.2">
      <c r="B39" s="274" t="s">
        <v>115</v>
      </c>
      <c r="C39" s="275"/>
      <c r="D39" s="275"/>
      <c r="E39" s="275"/>
      <c r="F39" s="275"/>
      <c r="G39" s="275"/>
      <c r="H39" s="276"/>
      <c r="I39" s="43"/>
      <c r="J39" s="43"/>
    </row>
    <row r="40" spans="2:10" ht="39.950000000000003" customHeight="1" thickBot="1" x14ac:dyDescent="0.25">
      <c r="B40" s="202" t="s">
        <v>65</v>
      </c>
      <c r="C40" s="203"/>
      <c r="D40" s="203"/>
      <c r="E40" s="203"/>
      <c r="F40" s="203"/>
      <c r="G40" s="203"/>
      <c r="H40" s="205"/>
    </row>
    <row r="41" spans="2:10" ht="16.5" customHeight="1" thickBot="1" x14ac:dyDescent="0.25">
      <c r="B41" s="44"/>
      <c r="C41" s="45"/>
      <c r="D41" s="45"/>
      <c r="E41" s="45"/>
      <c r="F41" s="45"/>
      <c r="G41" s="45"/>
      <c r="H41" s="46"/>
    </row>
    <row r="42" spans="2:10" ht="67.5" customHeight="1" x14ac:dyDescent="0.2">
      <c r="B42" s="254" t="s">
        <v>116</v>
      </c>
      <c r="C42" s="255"/>
      <c r="D42" s="255"/>
      <c r="E42" s="255"/>
      <c r="F42" s="255"/>
      <c r="G42" s="255"/>
      <c r="H42" s="256"/>
      <c r="I42" s="43"/>
      <c r="J42" s="43"/>
    </row>
    <row r="43" spans="2:10" ht="39.950000000000003" customHeight="1" thickBot="1" x14ac:dyDescent="0.25">
      <c r="B43" s="174" t="s">
        <v>111</v>
      </c>
      <c r="C43" s="175"/>
      <c r="D43" s="175"/>
      <c r="E43" s="175"/>
      <c r="F43" s="175"/>
      <c r="G43" s="175"/>
      <c r="H43" s="177"/>
    </row>
    <row r="44" spans="2:10" ht="13.5" thickBot="1" x14ac:dyDescent="0.25"/>
    <row r="45" spans="2:10" ht="13.5" thickBot="1" x14ac:dyDescent="0.25">
      <c r="B45" s="210" t="s">
        <v>66</v>
      </c>
      <c r="C45" s="211"/>
      <c r="D45" s="211"/>
      <c r="E45" s="211"/>
      <c r="F45" s="47" t="s">
        <v>42</v>
      </c>
      <c r="G45" s="48" t="s">
        <v>43</v>
      </c>
    </row>
    <row r="46" spans="2:10" ht="13.5" thickTop="1" x14ac:dyDescent="0.2">
      <c r="B46" s="49" t="s">
        <v>67</v>
      </c>
      <c r="C46" s="212" t="s">
        <v>68</v>
      </c>
      <c r="D46" s="213"/>
      <c r="E46" s="214" t="s">
        <v>69</v>
      </c>
      <c r="F46" s="214"/>
      <c r="G46" s="215"/>
    </row>
    <row r="47" spans="2:10" x14ac:dyDescent="0.2">
      <c r="B47" s="34"/>
      <c r="C47" s="216" t="s">
        <v>70</v>
      </c>
      <c r="D47" s="216"/>
      <c r="E47" s="102"/>
      <c r="F47" s="217"/>
      <c r="G47" s="220">
        <v>20</v>
      </c>
    </row>
    <row r="48" spans="2:10" x14ac:dyDescent="0.2">
      <c r="B48" s="34"/>
      <c r="C48" s="216" t="s">
        <v>71</v>
      </c>
      <c r="D48" s="216"/>
      <c r="E48" s="102"/>
      <c r="F48" s="218"/>
      <c r="G48" s="221"/>
    </row>
    <row r="49" spans="2:7" ht="26.25" thickBot="1" x14ac:dyDescent="0.25">
      <c r="B49" s="50"/>
      <c r="C49" s="223" t="s">
        <v>72</v>
      </c>
      <c r="D49" s="224"/>
      <c r="E49" s="103" t="s">
        <v>73</v>
      </c>
      <c r="F49" s="219"/>
      <c r="G49" s="222"/>
    </row>
    <row r="50" spans="2:7" ht="13.5" thickTop="1" x14ac:dyDescent="0.2">
      <c r="B50" s="49" t="s">
        <v>74</v>
      </c>
      <c r="C50" s="228" t="s">
        <v>75</v>
      </c>
      <c r="D50" s="229"/>
      <c r="E50" s="229"/>
      <c r="F50" s="229"/>
      <c r="G50" s="230"/>
    </row>
    <row r="51" spans="2:7" x14ac:dyDescent="0.2">
      <c r="B51" s="34"/>
      <c r="C51" s="216" t="s">
        <v>76</v>
      </c>
      <c r="D51" s="216"/>
      <c r="E51" s="102"/>
      <c r="F51" s="104"/>
      <c r="G51" s="105">
        <v>4</v>
      </c>
    </row>
    <row r="52" spans="2:7" ht="13.5" thickBot="1" x14ac:dyDescent="0.25">
      <c r="B52" s="50"/>
      <c r="C52" s="231" t="s">
        <v>77</v>
      </c>
      <c r="D52" s="231"/>
      <c r="E52" s="106"/>
      <c r="F52" s="107"/>
      <c r="G52" s="108">
        <v>6</v>
      </c>
    </row>
    <row r="53" spans="2:7" ht="13.5" thickTop="1" x14ac:dyDescent="0.2">
      <c r="B53" s="49" t="s">
        <v>78</v>
      </c>
      <c r="C53" s="232" t="s">
        <v>79</v>
      </c>
      <c r="D53" s="233"/>
      <c r="E53" s="234" t="s">
        <v>69</v>
      </c>
      <c r="F53" s="234"/>
      <c r="G53" s="235"/>
    </row>
    <row r="54" spans="2:7" x14ac:dyDescent="0.2">
      <c r="B54" s="34"/>
      <c r="C54" s="216" t="s">
        <v>80</v>
      </c>
      <c r="D54" s="216"/>
      <c r="E54" s="102"/>
      <c r="F54" s="217"/>
      <c r="G54" s="220">
        <v>6</v>
      </c>
    </row>
    <row r="55" spans="2:7" x14ac:dyDescent="0.2">
      <c r="B55" s="34"/>
      <c r="C55" s="216" t="s">
        <v>81</v>
      </c>
      <c r="D55" s="216"/>
      <c r="E55" s="102"/>
      <c r="F55" s="218"/>
      <c r="G55" s="221"/>
    </row>
    <row r="56" spans="2:7" ht="26.25" thickBot="1" x14ac:dyDescent="0.25">
      <c r="B56" s="50"/>
      <c r="C56" s="223" t="s">
        <v>82</v>
      </c>
      <c r="D56" s="236"/>
      <c r="E56" s="103" t="s">
        <v>73</v>
      </c>
      <c r="F56" s="219"/>
      <c r="G56" s="222"/>
    </row>
    <row r="57" spans="2:7" ht="13.5" thickTop="1" x14ac:dyDescent="0.2">
      <c r="B57" s="49" t="s">
        <v>83</v>
      </c>
      <c r="C57" s="228" t="s">
        <v>84</v>
      </c>
      <c r="D57" s="229"/>
      <c r="E57" s="229"/>
      <c r="F57" s="229"/>
      <c r="G57" s="230"/>
    </row>
    <row r="58" spans="2:7" ht="13.5" thickBot="1" x14ac:dyDescent="0.25">
      <c r="B58" s="50"/>
      <c r="C58" s="223" t="s">
        <v>85</v>
      </c>
      <c r="D58" s="224"/>
      <c r="E58" s="236"/>
      <c r="F58" s="109"/>
      <c r="G58" s="108">
        <v>4</v>
      </c>
    </row>
    <row r="59" spans="2:7" ht="13.5" thickTop="1" x14ac:dyDescent="0.2">
      <c r="B59" s="49" t="s">
        <v>86</v>
      </c>
      <c r="C59" s="232" t="s">
        <v>87</v>
      </c>
      <c r="D59" s="233"/>
      <c r="E59" s="234" t="s">
        <v>69</v>
      </c>
      <c r="F59" s="234"/>
      <c r="G59" s="235"/>
    </row>
    <row r="60" spans="2:7" x14ac:dyDescent="0.2">
      <c r="B60" s="34"/>
      <c r="C60" s="225" t="s">
        <v>88</v>
      </c>
      <c r="D60" s="226"/>
      <c r="E60" s="227"/>
      <c r="F60" s="110"/>
      <c r="G60" s="105">
        <v>40</v>
      </c>
    </row>
    <row r="61" spans="2:7" x14ac:dyDescent="0.2">
      <c r="B61" s="34"/>
      <c r="C61" s="225" t="s">
        <v>89</v>
      </c>
      <c r="D61" s="226"/>
      <c r="E61" s="227"/>
      <c r="F61" s="111"/>
      <c r="G61" s="105">
        <v>10</v>
      </c>
    </row>
    <row r="62" spans="2:7" x14ac:dyDescent="0.2">
      <c r="B62" s="34"/>
      <c r="C62" s="225" t="s">
        <v>90</v>
      </c>
      <c r="D62" s="226"/>
      <c r="E62" s="227"/>
      <c r="F62" s="110"/>
      <c r="G62" s="105">
        <v>7</v>
      </c>
    </row>
    <row r="63" spans="2:7" ht="13.5" thickBot="1" x14ac:dyDescent="0.25">
      <c r="B63" s="50"/>
      <c r="C63" s="240" t="s">
        <v>91</v>
      </c>
      <c r="D63" s="241"/>
      <c r="E63" s="242"/>
      <c r="F63" s="51"/>
      <c r="G63" s="53">
        <v>3</v>
      </c>
    </row>
    <row r="64" spans="2:7" ht="14.25" thickTop="1" thickBot="1" x14ac:dyDescent="0.25">
      <c r="B64" s="243" t="s">
        <v>62</v>
      </c>
      <c r="C64" s="244"/>
      <c r="D64" s="244"/>
      <c r="E64" s="245"/>
      <c r="F64" s="54"/>
      <c r="G64" s="55">
        <f>SUM(G47:G63)</f>
        <v>100</v>
      </c>
    </row>
    <row r="65" spans="2:7" ht="13.5" thickBot="1" x14ac:dyDescent="0.25">
      <c r="B65" s="36"/>
      <c r="F65" s="13"/>
      <c r="G65" s="56"/>
    </row>
    <row r="66" spans="2:7" ht="72.599999999999994" customHeight="1" x14ac:dyDescent="0.2">
      <c r="B66" s="246" t="s">
        <v>117</v>
      </c>
      <c r="C66" s="247"/>
      <c r="D66" s="247"/>
      <c r="E66" s="247"/>
      <c r="F66" s="247"/>
      <c r="G66" s="248"/>
    </row>
    <row r="67" spans="2:7" x14ac:dyDescent="0.2">
      <c r="B67" s="249" t="s">
        <v>93</v>
      </c>
      <c r="C67" s="159"/>
      <c r="D67" s="159"/>
      <c r="E67" s="159"/>
      <c r="F67" s="159"/>
      <c r="G67" s="250"/>
    </row>
    <row r="68" spans="2:7" x14ac:dyDescent="0.2">
      <c r="B68" s="34">
        <v>1</v>
      </c>
      <c r="C68" s="171" t="s">
        <v>94</v>
      </c>
      <c r="D68" s="172"/>
      <c r="E68" s="173"/>
      <c r="F68" s="32"/>
      <c r="G68" s="33"/>
    </row>
    <row r="69" spans="2:7" x14ac:dyDescent="0.2">
      <c r="B69" s="34">
        <v>2</v>
      </c>
      <c r="C69" s="171" t="s">
        <v>95</v>
      </c>
      <c r="D69" s="172"/>
      <c r="E69" s="173"/>
      <c r="F69" s="32"/>
      <c r="G69" s="33"/>
    </row>
    <row r="70" spans="2:7" x14ac:dyDescent="0.2">
      <c r="B70" s="57">
        <v>3</v>
      </c>
      <c r="C70" s="171" t="s">
        <v>96</v>
      </c>
      <c r="D70" s="172"/>
      <c r="E70" s="173"/>
      <c r="F70" s="32"/>
      <c r="G70" s="33"/>
    </row>
    <row r="71" spans="2:7" ht="51" customHeight="1" thickBot="1" x14ac:dyDescent="0.25">
      <c r="B71" s="251" t="s">
        <v>65</v>
      </c>
      <c r="C71" s="252"/>
      <c r="D71" s="252"/>
      <c r="E71" s="252"/>
      <c r="F71" s="252"/>
      <c r="G71" s="253"/>
    </row>
    <row r="72" spans="2:7" ht="13.5" thickBot="1" x14ac:dyDescent="0.25">
      <c r="B72" s="58"/>
      <c r="C72" s="59"/>
      <c r="D72" s="59"/>
      <c r="E72" s="59"/>
      <c r="F72" s="59"/>
      <c r="G72" s="60"/>
    </row>
    <row r="73" spans="2:7" ht="65.099999999999994" customHeight="1" x14ac:dyDescent="0.2">
      <c r="B73" s="254" t="s">
        <v>97</v>
      </c>
      <c r="C73" s="255"/>
      <c r="D73" s="255"/>
      <c r="E73" s="255"/>
      <c r="F73" s="255"/>
      <c r="G73" s="256"/>
    </row>
    <row r="74" spans="2:7" ht="23.1" customHeight="1" x14ac:dyDescent="0.2">
      <c r="B74" s="257" t="s">
        <v>98</v>
      </c>
      <c r="C74" s="164"/>
      <c r="D74" s="164"/>
      <c r="E74" s="164"/>
      <c r="F74" s="32"/>
      <c r="G74" s="33"/>
    </row>
    <row r="75" spans="2:7" ht="42.95" customHeight="1" thickBot="1" x14ac:dyDescent="0.25">
      <c r="B75" s="202" t="s">
        <v>99</v>
      </c>
      <c r="C75" s="203"/>
      <c r="D75" s="203"/>
      <c r="E75" s="203"/>
      <c r="F75" s="203"/>
      <c r="G75" s="205"/>
    </row>
  </sheetData>
  <mergeCells count="85">
    <mergeCell ref="B75:G75"/>
    <mergeCell ref="C62:E62"/>
    <mergeCell ref="C63:E63"/>
    <mergeCell ref="B64:E64"/>
    <mergeCell ref="B66:G66"/>
    <mergeCell ref="B67:G67"/>
    <mergeCell ref="C68:E68"/>
    <mergeCell ref="C69:E69"/>
    <mergeCell ref="C70:E70"/>
    <mergeCell ref="B71:G71"/>
    <mergeCell ref="B73:G73"/>
    <mergeCell ref="B74:E74"/>
    <mergeCell ref="C61:E61"/>
    <mergeCell ref="C50:G50"/>
    <mergeCell ref="C51:D51"/>
    <mergeCell ref="C52:D52"/>
    <mergeCell ref="C53:D53"/>
    <mergeCell ref="E53:G53"/>
    <mergeCell ref="C54:D54"/>
    <mergeCell ref="F54:F56"/>
    <mergeCell ref="G54:G56"/>
    <mergeCell ref="C55:D55"/>
    <mergeCell ref="C56:D56"/>
    <mergeCell ref="C57:G57"/>
    <mergeCell ref="C58:E58"/>
    <mergeCell ref="C59:D59"/>
    <mergeCell ref="E59:G59"/>
    <mergeCell ref="C60:E60"/>
    <mergeCell ref="B45:E45"/>
    <mergeCell ref="C46:D46"/>
    <mergeCell ref="E46:G46"/>
    <mergeCell ref="C47:D47"/>
    <mergeCell ref="F47:F49"/>
    <mergeCell ref="G47:G49"/>
    <mergeCell ref="C48:D48"/>
    <mergeCell ref="C49:D49"/>
    <mergeCell ref="B43:H43"/>
    <mergeCell ref="C30:E30"/>
    <mergeCell ref="D31:H31"/>
    <mergeCell ref="C32:E32"/>
    <mergeCell ref="C33:E33"/>
    <mergeCell ref="B34:E34"/>
    <mergeCell ref="B36:E36"/>
    <mergeCell ref="G36:H36"/>
    <mergeCell ref="B37:E37"/>
    <mergeCell ref="G37:H37"/>
    <mergeCell ref="B39:H39"/>
    <mergeCell ref="B40:H40"/>
    <mergeCell ref="B42:H42"/>
    <mergeCell ref="C29:E29"/>
    <mergeCell ref="C18:E18"/>
    <mergeCell ref="C19:E19"/>
    <mergeCell ref="C20:E20"/>
    <mergeCell ref="C21:E21"/>
    <mergeCell ref="C22:E22"/>
    <mergeCell ref="C23:E23"/>
    <mergeCell ref="D24:H24"/>
    <mergeCell ref="C25:E25"/>
    <mergeCell ref="C26:E26"/>
    <mergeCell ref="C27:E27"/>
    <mergeCell ref="C28:E28"/>
    <mergeCell ref="C17:E17"/>
    <mergeCell ref="B9:C9"/>
    <mergeCell ref="F9:H9"/>
    <mergeCell ref="B10:C10"/>
    <mergeCell ref="F10:H10"/>
    <mergeCell ref="B11:C11"/>
    <mergeCell ref="D11:H11"/>
    <mergeCell ref="B12:E12"/>
    <mergeCell ref="D13:H13"/>
    <mergeCell ref="C14:E14"/>
    <mergeCell ref="C15:E15"/>
    <mergeCell ref="C16:E16"/>
    <mergeCell ref="B6:C6"/>
    <mergeCell ref="F6:H6"/>
    <mergeCell ref="B7:C7"/>
    <mergeCell ref="F7:H7"/>
    <mergeCell ref="B8:C8"/>
    <mergeCell ref="F8:H8"/>
    <mergeCell ref="B5:H5"/>
    <mergeCell ref="B1:E1"/>
    <mergeCell ref="G1:H1"/>
    <mergeCell ref="B2:H2"/>
    <mergeCell ref="B3:H3"/>
    <mergeCell ref="E4:H4"/>
  </mergeCells>
  <pageMargins left="0.7" right="0.7" top="0.5" bottom="0.5" header="0.3" footer="0.3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Grades</vt:lpstr>
      <vt:lpstr>Ms Rizwana</vt:lpstr>
      <vt:lpstr>Sheet1</vt:lpstr>
      <vt:lpstr>D - 3 - SAR SVI-SVIII</vt:lpstr>
      <vt:lpstr>Grades!Print_Area</vt:lpstr>
      <vt:lpstr>'Ms Rizwana'!Print_Area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laptop</cp:lastModifiedBy>
  <dcterms:created xsi:type="dcterms:W3CDTF">2025-02-20T07:44:12Z</dcterms:created>
  <dcterms:modified xsi:type="dcterms:W3CDTF">2026-05-19T04:18:44Z</dcterms:modified>
</cp:coreProperties>
</file>